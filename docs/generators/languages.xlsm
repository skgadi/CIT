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D95C92B6-1995-4004-A888-02FCD08BD5A5}" xr6:coauthVersionLast="45" xr6:coauthVersionMax="45" xr10:uidLastSave="{00000000-0000-0000-0000-000000000000}"/>
  <bookViews>
    <workbookView xWindow="-108" yWindow="-108" windowWidth="23256" windowHeight="12576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93" i="1"/>
  <c r="F92" i="1"/>
  <c r="F91" i="1"/>
  <c r="F87" i="1"/>
  <c r="F88" i="1"/>
  <c r="F86" i="1"/>
  <c r="F83" i="1"/>
  <c r="F82" i="1"/>
  <c r="F81" i="1"/>
  <c r="F78" i="1"/>
  <c r="F77" i="1"/>
  <c r="F76" i="1"/>
  <c r="F72" i="1"/>
  <c r="F73" i="1"/>
  <c r="F71" i="1"/>
  <c r="F23" i="1"/>
  <c r="F33" i="1"/>
  <c r="F34" i="1"/>
  <c r="F32" i="1"/>
  <c r="F28" i="1"/>
  <c r="F29" i="1"/>
  <c r="F27" i="1"/>
  <c r="F24" i="1"/>
  <c r="F22" i="1"/>
  <c r="G2" i="2" l="1"/>
  <c r="F2" i="2"/>
  <c r="H1" i="3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<sst xmlns="http://schemas.openxmlformats.org/spreadsheetml/2006/main" count="389" uniqueCount="150">
  <si>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</si>
  <si>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</si>
  <si>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</si>
  <si>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</si>
  <si>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</si>
  <si>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</si>
  <si>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</si>
  <si>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</si>
  <si>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</si>
  <si>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</si>
  <si>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</si>
  <si>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</si>
  <si>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</si>
  <si>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</si>
  <si>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</si>
  <si>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CIT</t>
  </si>
  <si>
    <t>Control and Identification Toolbox</t>
  </si>
  <si>
    <t>sResponse</t>
  </si>
  <si>
    <t>System response</t>
  </si>
  <si>
    <t>pid</t>
  </si>
  <si>
    <t>PID controller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</si>
  <si>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</si>
  <si>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</si>
  <si>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</si>
  <si>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</si>
  <si>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</si>
  <si>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</si>
  <si>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</si>
  <si>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</si>
  <si>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</si>
  <si>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</si>
  <si>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</si>
  <si>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</si>
  <si>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</si>
  <si>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</si>
  <si>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</si>
  <si>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</si>
  <si>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</si>
  <si>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</si>
  <si>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</si>
  <si>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</si>
  <si>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</si>
  <si>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</si>
  <si>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</si>
  <si>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</si>
  <si>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</si>
  <si>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</si>
  <si>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</si>
  <si>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</si>
  <si>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</si>
  <si>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</si>
  <si>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</si>
  <si>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</si>
  <si>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</si>
  <si>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</si>
  <si>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</si>
  <si>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</si>
  <si>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</si>
  <si>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</si>
  <si>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</si>
  <si>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</si>
  <si>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</si>
  <si>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</si>
  <si>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</si>
  <si>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</si>
  <si>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</si>
  <si>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</si>
  <si>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</si>
  <si>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</si>
  <si>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</si>
  <si>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</si>
  <si>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</si>
  <si>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</si>
  <si>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</si>
  <si>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</si>
  <si>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</si>
  <si>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</si>
  <si>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</si>
  <si>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</si>
  <si>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</si>
  <si>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</si>
  <si>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</si>
  <si>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</si>
  <si>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</si>
  <si>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</si>
  <si>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</si>
  <si>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</si>
  <si>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</si>
  <si>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</si>
  <si>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</si>
  <si>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</si>
  <si>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</si>
  <si>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</si>
  <si>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</si>
  <si>
    <t>documentation</t>
  </si>
  <si>
    <t>pid.pdf</t>
  </si>
  <si>
    <t>ol-system.pdf</t>
  </si>
  <si>
    <t>aSelection</t>
  </si>
  <si>
    <t>Algorithm selection</t>
  </si>
  <si>
    <t>Selección de algoritmo</t>
  </si>
  <si>
    <t>k-p</t>
  </si>
  <si>
    <t>k-i</t>
  </si>
  <si>
    <t>k-d</t>
  </si>
  <si>
    <t>noParams</t>
  </si>
  <si>
    <t>Parameters are unavailable for the selected algorithm.</t>
  </si>
  <si>
    <t>Los parámetros no están disponibles para el algoritmo seleccionado.</t>
  </si>
  <si>
    <t>dValue</t>
  </si>
  <si>
    <t>Proportional constant, $K_P$</t>
  </si>
  <si>
    <t>Constante proporcional, $K_P$</t>
  </si>
  <si>
    <t>Integral constant, $K_I$</t>
  </si>
  <si>
    <t>Constante integral, $K_I$</t>
  </si>
  <si>
    <t>Derivative constant, $K_D$</t>
  </si>
  <si>
    <t>Constante derivada, $K_D$</t>
  </si>
  <si>
    <t>fGens</t>
  </si>
  <si>
    <t>Function generator(s)</t>
  </si>
  <si>
    <t>Generador(es) de funciones</t>
  </si>
  <si>
    <t>u</t>
  </si>
  <si>
    <t>Input to the system, $u(t)$</t>
  </si>
  <si>
    <t>Reference, $r(t)$</t>
  </si>
  <si>
    <t>Referencia, $r(t)$</t>
  </si>
  <si>
    <t>Entrada al sistema, $u(t)$</t>
  </si>
  <si>
    <t>min</t>
  </si>
  <si>
    <t>max</t>
  </si>
  <si>
    <t>-Infinity</t>
  </si>
  <si>
    <t>Infinity</t>
  </si>
  <si>
    <t>amp</t>
  </si>
  <si>
    <t>Amplitude</t>
  </si>
  <si>
    <t>freq</t>
  </si>
  <si>
    <t>Frequency</t>
  </si>
  <si>
    <t>duty</t>
  </si>
  <si>
    <t>Duty  cycle</t>
  </si>
  <si>
    <t>start</t>
  </si>
  <si>
    <t>Start at</t>
  </si>
  <si>
    <t>iSignal</t>
  </si>
  <si>
    <t>Invert signal</t>
  </si>
  <si>
    <t>sTypes</t>
  </si>
  <si>
    <t>step</t>
  </si>
  <si>
    <t>Step function</t>
  </si>
  <si>
    <t>['amp']</t>
  </si>
  <si>
    <t>sine</t>
  </si>
  <si>
    <t>Sine wave</t>
  </si>
  <si>
    <t>['amp', 'freq']</t>
  </si>
  <si>
    <t>triangle</t>
  </si>
  <si>
    <t>Triangular wave</t>
  </si>
  <si>
    <t>rect</t>
  </si>
  <si>
    <t>Rectangular wave</t>
  </si>
  <si>
    <t>sawtooth</t>
  </si>
  <si>
    <t>Sawtooth wave</t>
  </si>
  <si>
    <t>['amp', 'freq','duty']</t>
  </si>
  <si>
    <t>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</si>
</sst>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38100</xdr:rowOff>
        </xdr:from>
        <xdr:to>
          <xdr:col>14</xdr:col>
          <xdr:colOff>541020</xdr:colOff>
          <xdr:row>4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110"/>
  <sheetViews>
    <sheetView tabSelected="1" topLeftCell="A7" workbookViewId="0">
      <selection activeCell="B38" sqref="B38"/>
    </sheetView>
  </sheetViews>
  <sheetFormatPr defaultRowHeight="14.4" x14ac:dyDescent="0.3"/>
  <cols>
    <col min="2" max="2" width="18" customWidth="1"/>
  </cols>
  <sheetData>
    <row r="1" spans="1:6" x14ac:dyDescent="0.3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3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3">
      <c r="B3" t="s">
        <v>12</v>
      </c>
      <c r="C3" t="s">
        <v>11</v>
      </c>
      <c r="D3" t="s">
        <v>5</v>
      </c>
      <c r="E3" t="s">
        <v>15</v>
      </c>
      <c r="F3" t="s">
        <v>15</v>
      </c>
    </row>
    <row r="4" spans="1:6" x14ac:dyDescent="0.3">
      <c r="B4" t="s">
        <v>13</v>
      </c>
      <c r="C4" t="s">
        <v>11</v>
      </c>
      <c r="D4" t="s">
        <v>5</v>
      </c>
      <c r="E4" t="s">
        <v>16</v>
      </c>
      <c r="F4" t="s">
        <v>46</v>
      </c>
    </row>
    <row r="5" spans="1:6" x14ac:dyDescent="0.3">
      <c r="B5" t="s">
        <v>14</v>
      </c>
      <c r="D5" t="s">
        <v>4</v>
      </c>
    </row>
    <row r="6" spans="1:6" x14ac:dyDescent="0.3">
      <c r="B6" t="s">
        <v>17</v>
      </c>
      <c r="D6" t="s">
        <v>4</v>
      </c>
    </row>
    <row r="7" spans="1:6" x14ac:dyDescent="0.3">
      <c r="B7" t="s">
        <v>8</v>
      </c>
      <c r="C7" t="s">
        <v>11</v>
      </c>
      <c r="D7" t="s">
        <v>5</v>
      </c>
      <c r="E7" t="s">
        <v>18</v>
      </c>
      <c r="F7" t="s">
        <v>47</v>
      </c>
    </row>
    <row r="8" spans="1:6" x14ac:dyDescent="0.3">
      <c r="B8" t="s">
        <v>94</v>
      </c>
      <c r="C8" t="s">
        <v>11</v>
      </c>
      <c r="D8" t="s">
        <v>5</v>
      </c>
      <c r="E8" t="s">
        <v>96</v>
      </c>
      <c r="F8" t="s">
        <v>96</v>
      </c>
    </row>
    <row r="9" spans="1:6" x14ac:dyDescent="0.3">
      <c r="B9" t="s">
        <v>113</v>
      </c>
      <c r="D9" t="s">
        <v>4</v>
      </c>
    </row>
    <row r="10" spans="1:6" x14ac:dyDescent="0.3">
      <c r="B10" t="s">
        <v>116</v>
      </c>
      <c r="D10" t="s">
        <v>4</v>
      </c>
    </row>
    <row r="11" spans="1:6" x14ac:dyDescent="0.3">
      <c r="B11" t="s">
        <v>8</v>
      </c>
      <c r="C11" t="s">
        <v>11</v>
      </c>
      <c r="D11" t="s">
        <v>45</v>
      </c>
      <c r="E11" t="s">
        <v>117</v>
      </c>
      <c r="F11" t="s">
        <v>120</v>
      </c>
    </row>
    <row r="12" spans="1:6" x14ac:dyDescent="0.3">
      <c r="B12" t="s">
        <v>59</v>
      </c>
      <c r="D12" t="s">
        <v>4</v>
      </c>
    </row>
    <row r="13" spans="1:6" x14ac:dyDescent="0.3">
      <c r="B13" t="s">
        <v>61</v>
      </c>
      <c r="C13" t="s">
        <v>11</v>
      </c>
      <c r="D13" t="s">
        <v>44</v>
      </c>
      <c r="E13" t="s">
        <v>82</v>
      </c>
      <c r="F13" t="s">
        <v>85</v>
      </c>
    </row>
    <row r="14" spans="1:6" x14ac:dyDescent="0.3">
      <c r="B14" t="s">
        <v>60</v>
      </c>
      <c r="D14" t="s">
        <v>4</v>
      </c>
    </row>
    <row r="15" spans="1:6" x14ac:dyDescent="0.3">
      <c r="B15" t="s">
        <v>62</v>
      </c>
      <c r="C15" t="s">
        <v>11</v>
      </c>
      <c r="D15" t="s">
        <v>45</v>
      </c>
      <c r="E15" t="s">
        <v>80</v>
      </c>
      <c r="F15" t="s">
        <v>81</v>
      </c>
    </row>
    <row r="16" spans="1:6" x14ac:dyDescent="0.3">
      <c r="B16" t="s">
        <v>19</v>
      </c>
      <c r="D16" t="s">
        <v>4</v>
      </c>
    </row>
    <row r="17" spans="2:6" x14ac:dyDescent="0.3">
      <c r="B17" t="s">
        <v>8</v>
      </c>
      <c r="C17" t="s">
        <v>11</v>
      </c>
      <c r="D17" t="s">
        <v>5</v>
      </c>
      <c r="E17" t="s">
        <v>20</v>
      </c>
      <c r="F17" t="s">
        <v>48</v>
      </c>
    </row>
    <row r="18" spans="2:6" x14ac:dyDescent="0.3">
      <c r="B18" t="s">
        <v>94</v>
      </c>
      <c r="C18" t="s">
        <v>11</v>
      </c>
      <c r="D18" t="s">
        <v>5</v>
      </c>
      <c r="E18" t="s">
        <v>95</v>
      </c>
      <c r="F18" t="s">
        <v>95</v>
      </c>
    </row>
    <row r="19" spans="2:6" x14ac:dyDescent="0.3">
      <c r="B19" t="s">
        <v>23</v>
      </c>
      <c r="D19" t="s">
        <v>4</v>
      </c>
    </row>
    <row r="20" spans="2:6" x14ac:dyDescent="0.3">
      <c r="B20" t="s">
        <v>100</v>
      </c>
      <c r="D20" t="s">
        <v>4</v>
      </c>
    </row>
    <row r="21" spans="2:6" x14ac:dyDescent="0.3">
      <c r="B21" t="s">
        <v>8</v>
      </c>
      <c r="C21" t="s">
        <v>11</v>
      </c>
      <c r="D21" t="s">
        <v>5</v>
      </c>
      <c r="E21" t="s">
        <v>107</v>
      </c>
      <c r="F21" t="s">
        <v>108</v>
      </c>
    </row>
    <row r="22" spans="2:6" x14ac:dyDescent="0.3">
      <c r="B22" t="s">
        <v>106</v>
      </c>
      <c r="D22" t="s">
        <v>5</v>
      </c>
      <c r="E22">
        <v>10</v>
      </c>
      <c r="F22">
        <f>E22</f>
        <v>10</v>
      </c>
    </row>
    <row r="23" spans="2:6" x14ac:dyDescent="0.3">
      <c r="B23" t="s">
        <v>121</v>
      </c>
      <c r="D23" t="s">
        <v>5</v>
      </c>
      <c r="E23" s="1" t="s">
        <v>123</v>
      </c>
      <c r="F23" t="str">
        <f t="shared" ref="F23:F24" si="0">E23</f>
        <v>-Infinity</v>
      </c>
    </row>
    <row r="24" spans="2:6" x14ac:dyDescent="0.3">
      <c r="B24" t="s">
        <v>122</v>
      </c>
      <c r="D24" t="s">
        <v>44</v>
      </c>
      <c r="E24" t="s">
        <v>124</v>
      </c>
      <c r="F24" t="str">
        <f t="shared" si="0"/>
        <v>Infinity</v>
      </c>
    </row>
    <row r="25" spans="2:6" x14ac:dyDescent="0.3">
      <c r="B25" t="s">
        <v>101</v>
      </c>
      <c r="D25" t="s">
        <v>4</v>
      </c>
    </row>
    <row r="26" spans="2:6" x14ac:dyDescent="0.3">
      <c r="B26" t="s">
        <v>8</v>
      </c>
      <c r="C26" t="s">
        <v>11</v>
      </c>
      <c r="D26" t="s">
        <v>5</v>
      </c>
      <c r="E26" t="s">
        <v>109</v>
      </c>
      <c r="F26" t="s">
        <v>110</v>
      </c>
    </row>
    <row r="27" spans="2:6" x14ac:dyDescent="0.3">
      <c r="B27" t="s">
        <v>106</v>
      </c>
      <c r="D27" t="s">
        <v>5</v>
      </c>
      <c r="E27">
        <v>1</v>
      </c>
      <c r="F27">
        <f>E27</f>
        <v>1</v>
      </c>
    </row>
    <row r="28" spans="2:6" x14ac:dyDescent="0.3">
      <c r="B28" t="s">
        <v>121</v>
      </c>
      <c r="D28" t="s">
        <v>5</v>
      </c>
      <c r="E28" s="1" t="s">
        <v>123</v>
      </c>
      <c r="F28" t="str">
        <f t="shared" ref="F28:F29" si="1">E28</f>
        <v>-Infinity</v>
      </c>
    </row>
    <row r="29" spans="2:6" x14ac:dyDescent="0.3">
      <c r="B29" t="s">
        <v>122</v>
      </c>
      <c r="D29" t="s">
        <v>44</v>
      </c>
      <c r="E29" t="s">
        <v>124</v>
      </c>
      <c r="F29" t="str">
        <f t="shared" si="1"/>
        <v>Infinity</v>
      </c>
    </row>
    <row r="30" spans="2:6" x14ac:dyDescent="0.3">
      <c r="B30" t="s">
        <v>102</v>
      </c>
      <c r="D30" t="s">
        <v>4</v>
      </c>
    </row>
    <row r="31" spans="2:6" x14ac:dyDescent="0.3">
      <c r="B31" t="s">
        <v>8</v>
      </c>
      <c r="C31" t="s">
        <v>11</v>
      </c>
      <c r="D31" t="s">
        <v>5</v>
      </c>
      <c r="E31" t="s">
        <v>111</v>
      </c>
      <c r="F31" t="s">
        <v>112</v>
      </c>
    </row>
    <row r="32" spans="2:6" x14ac:dyDescent="0.3">
      <c r="B32" t="s">
        <v>106</v>
      </c>
      <c r="D32" t="s">
        <v>5</v>
      </c>
      <c r="E32">
        <v>0</v>
      </c>
      <c r="F32">
        <f>E32</f>
        <v>0</v>
      </c>
    </row>
    <row r="33" spans="2:6" x14ac:dyDescent="0.3">
      <c r="B33" t="s">
        <v>121</v>
      </c>
      <c r="D33" t="s">
        <v>5</v>
      </c>
      <c r="E33" s="1" t="s">
        <v>123</v>
      </c>
      <c r="F33" t="str">
        <f t="shared" ref="F33:F34" si="2">E33</f>
        <v>-Infinity</v>
      </c>
    </row>
    <row r="34" spans="2:6" x14ac:dyDescent="0.3">
      <c r="B34" t="s">
        <v>122</v>
      </c>
      <c r="D34" t="s">
        <v>45</v>
      </c>
      <c r="E34" t="s">
        <v>124</v>
      </c>
      <c r="F34" t="str">
        <f t="shared" si="2"/>
        <v>Infinity</v>
      </c>
    </row>
    <row r="35" spans="2:6" x14ac:dyDescent="0.3">
      <c r="B35" t="s">
        <v>113</v>
      </c>
      <c r="D35" t="s">
        <v>4</v>
      </c>
    </row>
    <row r="36" spans="2:6" x14ac:dyDescent="0.3">
      <c r="B36" t="s">
        <v>116</v>
      </c>
      <c r="D36" t="s">
        <v>4</v>
      </c>
    </row>
    <row r="37" spans="2:6" x14ac:dyDescent="0.3">
      <c r="B37" t="s">
        <v>8</v>
      </c>
      <c r="C37" t="s">
        <v>11</v>
      </c>
      <c r="D37" t="s">
        <v>45</v>
      </c>
      <c r="E37" t="s">
        <v>118</v>
      </c>
      <c r="F37" t="s">
        <v>119</v>
      </c>
    </row>
    <row r="38" spans="2:6" x14ac:dyDescent="0.3">
      <c r="B38" t="s">
        <v>59</v>
      </c>
      <c r="D38" t="s">
        <v>4</v>
      </c>
    </row>
    <row r="39" spans="2:6" x14ac:dyDescent="0.3">
      <c r="B39" t="s">
        <v>61</v>
      </c>
      <c r="C39" t="s">
        <v>11</v>
      </c>
      <c r="D39" t="s">
        <v>44</v>
      </c>
      <c r="E39" t="s">
        <v>82</v>
      </c>
      <c r="F39" t="s">
        <v>85</v>
      </c>
    </row>
    <row r="40" spans="2:6" x14ac:dyDescent="0.3">
      <c r="B40" t="s">
        <v>60</v>
      </c>
      <c r="D40" t="s">
        <v>4</v>
      </c>
    </row>
    <row r="41" spans="2:6" x14ac:dyDescent="0.3">
      <c r="B41" t="s">
        <v>62</v>
      </c>
      <c r="C41" t="s">
        <v>11</v>
      </c>
      <c r="D41" t="s">
        <v>63</v>
      </c>
      <c r="E41" t="s">
        <v>83</v>
      </c>
      <c r="F41" t="s">
        <v>84</v>
      </c>
    </row>
    <row r="42" spans="2:6" x14ac:dyDescent="0.3">
      <c r="B42" t="s">
        <v>21</v>
      </c>
      <c r="D42" t="s">
        <v>4</v>
      </c>
    </row>
    <row r="43" spans="2:6" x14ac:dyDescent="0.3">
      <c r="B43" t="s">
        <v>93</v>
      </c>
      <c r="C43" t="s">
        <v>11</v>
      </c>
      <c r="D43" t="s">
        <v>5</v>
      </c>
      <c r="E43" t="s">
        <v>91</v>
      </c>
      <c r="F43" t="s">
        <v>92</v>
      </c>
    </row>
    <row r="44" spans="2:6" x14ac:dyDescent="0.3">
      <c r="B44" t="s">
        <v>22</v>
      </c>
      <c r="C44" t="s">
        <v>11</v>
      </c>
      <c r="D44" t="s">
        <v>5</v>
      </c>
      <c r="E44" t="s">
        <v>34</v>
      </c>
      <c r="F44" t="s">
        <v>49</v>
      </c>
    </row>
    <row r="45" spans="2:6" x14ac:dyDescent="0.3">
      <c r="B45" t="s">
        <v>23</v>
      </c>
      <c r="C45" t="s">
        <v>11</v>
      </c>
      <c r="D45" t="s">
        <v>5</v>
      </c>
      <c r="E45" t="s">
        <v>35</v>
      </c>
      <c r="F45" t="s">
        <v>50</v>
      </c>
    </row>
    <row r="46" spans="2:6" x14ac:dyDescent="0.3">
      <c r="B46" t="s">
        <v>113</v>
      </c>
      <c r="C46" t="s">
        <v>11</v>
      </c>
      <c r="D46" t="s">
        <v>5</v>
      </c>
      <c r="E46" t="s">
        <v>114</v>
      </c>
      <c r="F46" t="s">
        <v>115</v>
      </c>
    </row>
    <row r="47" spans="2:6" x14ac:dyDescent="0.3">
      <c r="B47" t="s">
        <v>24</v>
      </c>
      <c r="C47" t="s">
        <v>11</v>
      </c>
      <c r="D47" t="s">
        <v>44</v>
      </c>
      <c r="E47" t="s">
        <v>36</v>
      </c>
      <c r="F47" t="s">
        <v>51</v>
      </c>
    </row>
    <row r="48" spans="2:6" x14ac:dyDescent="0.3">
      <c r="B48" t="s">
        <v>25</v>
      </c>
      <c r="D48" t="s">
        <v>4</v>
      </c>
    </row>
    <row r="49" spans="2:6" x14ac:dyDescent="0.3">
      <c r="B49" t="s">
        <v>26</v>
      </c>
      <c r="C49" t="s">
        <v>11</v>
      </c>
      <c r="D49" t="s">
        <v>5</v>
      </c>
      <c r="E49" t="s">
        <v>37</v>
      </c>
      <c r="F49" t="s">
        <v>52</v>
      </c>
    </row>
    <row r="50" spans="2:6" x14ac:dyDescent="0.3">
      <c r="B50" t="s">
        <v>27</v>
      </c>
      <c r="D50" t="s">
        <v>4</v>
      </c>
    </row>
    <row r="51" spans="2:6" x14ac:dyDescent="0.3">
      <c r="B51" t="s">
        <v>28</v>
      </c>
      <c r="C51" t="s">
        <v>11</v>
      </c>
      <c r="D51" t="s">
        <v>5</v>
      </c>
      <c r="E51" t="s">
        <v>38</v>
      </c>
      <c r="F51" t="s">
        <v>53</v>
      </c>
    </row>
    <row r="52" spans="2:6" x14ac:dyDescent="0.3">
      <c r="B52" t="s">
        <v>29</v>
      </c>
      <c r="C52" t="s">
        <v>11</v>
      </c>
      <c r="D52" t="s">
        <v>5</v>
      </c>
      <c r="E52" t="s">
        <v>39</v>
      </c>
      <c r="F52" t="s">
        <v>54</v>
      </c>
    </row>
    <row r="53" spans="2:6" x14ac:dyDescent="0.3">
      <c r="B53" t="s">
        <v>30</v>
      </c>
      <c r="C53" t="s">
        <v>11</v>
      </c>
      <c r="D53" t="s">
        <v>5</v>
      </c>
      <c r="E53" t="s">
        <v>40</v>
      </c>
      <c r="F53" t="s">
        <v>55</v>
      </c>
    </row>
    <row r="54" spans="2:6" x14ac:dyDescent="0.3">
      <c r="B54" t="s">
        <v>31</v>
      </c>
      <c r="C54" t="s">
        <v>11</v>
      </c>
      <c r="D54" t="s">
        <v>5</v>
      </c>
      <c r="E54" t="s">
        <v>41</v>
      </c>
      <c r="F54" t="s">
        <v>56</v>
      </c>
    </row>
    <row r="55" spans="2:6" x14ac:dyDescent="0.3">
      <c r="B55" t="s">
        <v>32</v>
      </c>
      <c r="C55" t="s">
        <v>11</v>
      </c>
      <c r="D55" t="s">
        <v>5</v>
      </c>
      <c r="E55" t="s">
        <v>42</v>
      </c>
      <c r="F55" t="s">
        <v>57</v>
      </c>
    </row>
    <row r="56" spans="2:6" x14ac:dyDescent="0.3">
      <c r="B56" t="s">
        <v>33</v>
      </c>
      <c r="C56" t="s">
        <v>11</v>
      </c>
      <c r="D56" t="s">
        <v>44</v>
      </c>
      <c r="E56" t="s">
        <v>43</v>
      </c>
      <c r="F56" t="s">
        <v>58</v>
      </c>
    </row>
    <row r="57" spans="2:6" x14ac:dyDescent="0.3">
      <c r="B57" t="s">
        <v>64</v>
      </c>
      <c r="C57" t="s">
        <v>11</v>
      </c>
      <c r="D57" t="s">
        <v>5</v>
      </c>
      <c r="E57" t="s">
        <v>65</v>
      </c>
      <c r="F57" t="s">
        <v>66</v>
      </c>
    </row>
    <row r="58" spans="2:6" x14ac:dyDescent="0.3">
      <c r="B58" t="s">
        <v>67</v>
      </c>
      <c r="D58" t="s">
        <v>4</v>
      </c>
    </row>
    <row r="59" spans="2:6" x14ac:dyDescent="0.3">
      <c r="B59" t="s">
        <v>68</v>
      </c>
      <c r="C59" t="s">
        <v>11</v>
      </c>
      <c r="D59" t="s">
        <v>5</v>
      </c>
      <c r="E59" t="s">
        <v>73</v>
      </c>
      <c r="F59" t="s">
        <v>76</v>
      </c>
    </row>
    <row r="60" spans="2:6" x14ac:dyDescent="0.3">
      <c r="B60" t="s">
        <v>69</v>
      </c>
      <c r="C60" t="s">
        <v>11</v>
      </c>
      <c r="D60" t="s">
        <v>5</v>
      </c>
      <c r="E60" t="s">
        <v>72</v>
      </c>
      <c r="F60" t="s">
        <v>77</v>
      </c>
    </row>
    <row r="61" spans="2:6" x14ac:dyDescent="0.3">
      <c r="B61" t="s">
        <v>70</v>
      </c>
      <c r="C61" t="s">
        <v>11</v>
      </c>
      <c r="D61" t="s">
        <v>5</v>
      </c>
      <c r="E61" t="s">
        <v>74</v>
      </c>
      <c r="F61" t="s">
        <v>78</v>
      </c>
    </row>
    <row r="62" spans="2:6" x14ac:dyDescent="0.3">
      <c r="B62" t="s">
        <v>71</v>
      </c>
      <c r="C62" t="s">
        <v>11</v>
      </c>
      <c r="D62" t="s">
        <v>45</v>
      </c>
      <c r="E62" t="s">
        <v>75</v>
      </c>
      <c r="F62" t="s">
        <v>79</v>
      </c>
    </row>
    <row r="63" spans="2:6" x14ac:dyDescent="0.3">
      <c r="B63" t="s">
        <v>86</v>
      </c>
      <c r="C63" t="s">
        <v>11</v>
      </c>
      <c r="D63" t="s">
        <v>5</v>
      </c>
      <c r="E63" t="s">
        <v>87</v>
      </c>
      <c r="F63" t="s">
        <v>87</v>
      </c>
    </row>
    <row r="64" spans="2:6" x14ac:dyDescent="0.3">
      <c r="B64" t="s">
        <v>88</v>
      </c>
      <c r="C64" t="s">
        <v>11</v>
      </c>
      <c r="D64" t="s">
        <v>5</v>
      </c>
      <c r="E64" t="s">
        <v>89</v>
      </c>
      <c r="F64" t="s">
        <v>90</v>
      </c>
    </row>
    <row r="65" spans="2:6" x14ac:dyDescent="0.3">
      <c r="B65" t="s">
        <v>97</v>
      </c>
      <c r="C65" t="s">
        <v>11</v>
      </c>
      <c r="D65" t="s">
        <v>5</v>
      </c>
      <c r="E65" t="s">
        <v>98</v>
      </c>
      <c r="F65" t="s">
        <v>99</v>
      </c>
    </row>
    <row r="66" spans="2:6" x14ac:dyDescent="0.3">
      <c r="B66" t="s">
        <v>103</v>
      </c>
      <c r="C66" t="s">
        <v>11</v>
      </c>
      <c r="D66" t="s">
        <v>5</v>
      </c>
      <c r="E66" t="s">
        <v>104</v>
      </c>
      <c r="F66" t="s">
        <v>105</v>
      </c>
    </row>
    <row r="67" spans="2:6" x14ac:dyDescent="0.3">
      <c r="B67" t="s">
        <v>113</v>
      </c>
      <c r="D67" t="s">
        <v>4</v>
      </c>
    </row>
    <row r="68" spans="2:6" x14ac:dyDescent="0.3">
      <c r="B68" t="s">
        <v>23</v>
      </c>
      <c r="D68" t="s">
        <v>4</v>
      </c>
    </row>
    <row r="69" spans="2:6" x14ac:dyDescent="0.3">
      <c r="B69" t="s">
        <v>125</v>
      </c>
      <c r="D69" t="s">
        <v>4</v>
      </c>
    </row>
    <row r="70" spans="2:6" x14ac:dyDescent="0.3">
      <c r="B70" t="s">
        <v>8</v>
      </c>
      <c r="C70" t="s">
        <v>11</v>
      </c>
      <c r="D70" t="s">
        <v>5</v>
      </c>
      <c r="E70" t="s">
        <v>126</v>
      </c>
      <c r="F70" t="s">
        <v>126</v>
      </c>
    </row>
    <row r="71" spans="2:6" x14ac:dyDescent="0.3">
      <c r="B71" t="s">
        <v>106</v>
      </c>
      <c r="D71" t="s">
        <v>5</v>
      </c>
      <c r="E71">
        <v>1</v>
      </c>
      <c r="F71">
        <f>E71</f>
        <v>1</v>
      </c>
    </row>
    <row r="72" spans="2:6" x14ac:dyDescent="0.3">
      <c r="B72" t="s">
        <v>121</v>
      </c>
      <c r="D72" t="s">
        <v>5</v>
      </c>
      <c r="E72">
        <v>0</v>
      </c>
      <c r="F72">
        <f t="shared" ref="F72:F73" si="3">E72</f>
        <v>0</v>
      </c>
    </row>
    <row r="73" spans="2:6" x14ac:dyDescent="0.3">
      <c r="B73" t="s">
        <v>122</v>
      </c>
      <c r="D73" t="s">
        <v>44</v>
      </c>
      <c r="E73" t="s">
        <v>124</v>
      </c>
      <c r="F73" t="str">
        <f t="shared" si="3"/>
        <v>Infinity</v>
      </c>
    </row>
    <row r="74" spans="2:6" x14ac:dyDescent="0.3">
      <c r="B74" t="s">
        <v>127</v>
      </c>
      <c r="D74" t="s">
        <v>4</v>
      </c>
    </row>
    <row r="75" spans="2:6" x14ac:dyDescent="0.3">
      <c r="B75" t="s">
        <v>8</v>
      </c>
      <c r="C75" t="s">
        <v>11</v>
      </c>
      <c r="D75" t="s">
        <v>5</v>
      </c>
      <c r="E75" t="s">
        <v>128</v>
      </c>
      <c r="F75" t="s">
        <v>128</v>
      </c>
    </row>
    <row r="76" spans="2:6" x14ac:dyDescent="0.3">
      <c r="B76" t="s">
        <v>106</v>
      </c>
      <c r="D76" t="s">
        <v>5</v>
      </c>
      <c r="E76">
        <v>1</v>
      </c>
      <c r="F76">
        <f>E76</f>
        <v>1</v>
      </c>
    </row>
    <row r="77" spans="2:6" x14ac:dyDescent="0.3">
      <c r="B77" t="s">
        <v>121</v>
      </c>
      <c r="D77" t="s">
        <v>5</v>
      </c>
      <c r="E77">
        <v>0</v>
      </c>
      <c r="F77">
        <f t="shared" ref="F77:F78" si="4">E77</f>
        <v>0</v>
      </c>
    </row>
    <row r="78" spans="2:6" x14ac:dyDescent="0.3">
      <c r="B78" t="s">
        <v>122</v>
      </c>
      <c r="D78" t="s">
        <v>44</v>
      </c>
      <c r="E78" t="s">
        <v>124</v>
      </c>
      <c r="F78" t="str">
        <f t="shared" si="4"/>
        <v>Infinity</v>
      </c>
    </row>
    <row r="79" spans="2:6" x14ac:dyDescent="0.3">
      <c r="B79" t="s">
        <v>129</v>
      </c>
      <c r="D79" t="s">
        <v>4</v>
      </c>
    </row>
    <row r="80" spans="2:6" x14ac:dyDescent="0.3">
      <c r="B80" t="s">
        <v>8</v>
      </c>
      <c r="C80" t="s">
        <v>11</v>
      </c>
      <c r="D80" t="s">
        <v>5</v>
      </c>
      <c r="E80" t="s">
        <v>130</v>
      </c>
      <c r="F80" t="s">
        <v>130</v>
      </c>
    </row>
    <row r="81" spans="2:6" x14ac:dyDescent="0.3">
      <c r="B81" t="s">
        <v>106</v>
      </c>
      <c r="D81" t="s">
        <v>5</v>
      </c>
      <c r="E81">
        <v>50</v>
      </c>
      <c r="F81">
        <f>E81</f>
        <v>50</v>
      </c>
    </row>
    <row r="82" spans="2:6" x14ac:dyDescent="0.3">
      <c r="B82" t="s">
        <v>121</v>
      </c>
      <c r="D82" t="s">
        <v>5</v>
      </c>
      <c r="E82">
        <v>0</v>
      </c>
      <c r="F82">
        <f t="shared" ref="F82:F83" si="5">E82</f>
        <v>0</v>
      </c>
    </row>
    <row r="83" spans="2:6" x14ac:dyDescent="0.3">
      <c r="B83" t="s">
        <v>122</v>
      </c>
      <c r="D83" t="s">
        <v>44</v>
      </c>
      <c r="E83">
        <v>100</v>
      </c>
      <c r="F83">
        <f t="shared" si="5"/>
        <v>100</v>
      </c>
    </row>
    <row r="84" spans="2:6" x14ac:dyDescent="0.3">
      <c r="B84" t="s">
        <v>86</v>
      </c>
      <c r="D84" t="s">
        <v>4</v>
      </c>
    </row>
    <row r="85" spans="2:6" x14ac:dyDescent="0.3">
      <c r="B85" t="s">
        <v>8</v>
      </c>
      <c r="C85" t="s">
        <v>11</v>
      </c>
      <c r="D85" t="s">
        <v>5</v>
      </c>
      <c r="E85" t="s">
        <v>87</v>
      </c>
      <c r="F85" t="s">
        <v>87</v>
      </c>
    </row>
    <row r="86" spans="2:6" x14ac:dyDescent="0.3">
      <c r="B86" t="s">
        <v>106</v>
      </c>
      <c r="D86" t="s">
        <v>5</v>
      </c>
      <c r="E86">
        <v>0</v>
      </c>
      <c r="F86">
        <f>E86</f>
        <v>0</v>
      </c>
    </row>
    <row r="87" spans="2:6" x14ac:dyDescent="0.3">
      <c r="B87" t="s">
        <v>121</v>
      </c>
      <c r="D87" t="s">
        <v>5</v>
      </c>
      <c r="E87" s="1" t="s">
        <v>123</v>
      </c>
      <c r="F87" t="str">
        <f t="shared" ref="F87:F88" si="6">E87</f>
        <v>-Infinity</v>
      </c>
    </row>
    <row r="88" spans="2:6" x14ac:dyDescent="0.3">
      <c r="B88" t="s">
        <v>122</v>
      </c>
      <c r="D88" t="s">
        <v>44</v>
      </c>
      <c r="E88" t="s">
        <v>124</v>
      </c>
      <c r="F88" t="str">
        <f t="shared" si="6"/>
        <v>Infinity</v>
      </c>
    </row>
    <row r="89" spans="2:6" x14ac:dyDescent="0.3">
      <c r="B89" t="s">
        <v>131</v>
      </c>
      <c r="D89" t="s">
        <v>4</v>
      </c>
    </row>
    <row r="90" spans="2:6" x14ac:dyDescent="0.3">
      <c r="B90" t="s">
        <v>8</v>
      </c>
      <c r="C90" t="s">
        <v>11</v>
      </c>
      <c r="D90" t="s">
        <v>5</v>
      </c>
      <c r="E90" t="s">
        <v>132</v>
      </c>
      <c r="F90" t="s">
        <v>132</v>
      </c>
    </row>
    <row r="91" spans="2:6" x14ac:dyDescent="0.3">
      <c r="B91" t="s">
        <v>106</v>
      </c>
      <c r="D91" t="s">
        <v>5</v>
      </c>
      <c r="E91">
        <v>0</v>
      </c>
      <c r="F91">
        <f>E91</f>
        <v>0</v>
      </c>
    </row>
    <row r="92" spans="2:6" x14ac:dyDescent="0.3">
      <c r="B92" t="s">
        <v>121</v>
      </c>
      <c r="D92" t="s">
        <v>5</v>
      </c>
      <c r="E92" s="1">
        <v>0</v>
      </c>
      <c r="F92">
        <f t="shared" ref="F92:F93" si="7">E92</f>
        <v>0</v>
      </c>
    </row>
    <row r="93" spans="2:6" x14ac:dyDescent="0.3">
      <c r="B93" t="s">
        <v>122</v>
      </c>
      <c r="D93" t="s">
        <v>45</v>
      </c>
      <c r="E93" t="s">
        <v>124</v>
      </c>
      <c r="F93" t="str">
        <f t="shared" si="7"/>
        <v>Infinity</v>
      </c>
    </row>
    <row r="94" spans="2:6" x14ac:dyDescent="0.3">
      <c r="B94" t="s">
        <v>133</v>
      </c>
      <c r="C94" t="s">
        <v>11</v>
      </c>
      <c r="D94" t="s">
        <v>5</v>
      </c>
      <c r="E94" t="s">
        <v>134</v>
      </c>
      <c r="F94" t="s">
        <v>134</v>
      </c>
    </row>
    <row r="95" spans="2:6" x14ac:dyDescent="0.3">
      <c r="B95" t="s">
        <v>135</v>
      </c>
      <c r="D95" t="s">
        <v>4</v>
      </c>
    </row>
    <row r="96" spans="2:6" x14ac:dyDescent="0.3">
      <c r="B96" t="s">
        <v>136</v>
      </c>
      <c r="D96" t="s">
        <v>4</v>
      </c>
    </row>
    <row r="97" spans="2:6" x14ac:dyDescent="0.3">
      <c r="B97" t="s">
        <v>8</v>
      </c>
      <c r="C97" t="s">
        <v>11</v>
      </c>
      <c r="D97" t="s">
        <v>5</v>
      </c>
      <c r="E97" t="s">
        <v>137</v>
      </c>
      <c r="F97" t="s">
        <v>137</v>
      </c>
    </row>
    <row r="98" spans="2:6" x14ac:dyDescent="0.3">
      <c r="B98" t="s">
        <v>23</v>
      </c>
      <c r="D98" t="s">
        <v>44</v>
      </c>
      <c r="E98" t="s">
        <v>138</v>
      </c>
      <c r="F98" t="s">
        <v>138</v>
      </c>
    </row>
    <row r="99" spans="2:6" x14ac:dyDescent="0.3">
      <c r="B99" t="s">
        <v>139</v>
      </c>
      <c r="D99" t="s">
        <v>4</v>
      </c>
    </row>
    <row r="100" spans="2:6" x14ac:dyDescent="0.3">
      <c r="B100" t="s">
        <v>8</v>
      </c>
      <c r="C100" t="s">
        <v>11</v>
      </c>
      <c r="D100" t="s">
        <v>5</v>
      </c>
      <c r="E100" t="s">
        <v>140</v>
      </c>
      <c r="F100" t="s">
        <v>140</v>
      </c>
    </row>
    <row r="101" spans="2:6" x14ac:dyDescent="0.3">
      <c r="B101" t="s">
        <v>23</v>
      </c>
      <c r="D101" t="s">
        <v>44</v>
      </c>
      <c r="E101" t="s">
        <v>141</v>
      </c>
      <c r="F101" t="s">
        <v>141</v>
      </c>
    </row>
    <row r="102" spans="2:6" x14ac:dyDescent="0.3">
      <c r="B102" t="s">
        <v>142</v>
      </c>
      <c r="D102" t="s">
        <v>4</v>
      </c>
    </row>
    <row r="103" spans="2:6" x14ac:dyDescent="0.3">
      <c r="B103" t="s">
        <v>8</v>
      </c>
      <c r="C103" t="s">
        <v>11</v>
      </c>
      <c r="D103" t="s">
        <v>5</v>
      </c>
      <c r="E103" t="s">
        <v>143</v>
      </c>
      <c r="F103" t="s">
        <v>143</v>
      </c>
    </row>
    <row r="104" spans="2:6" x14ac:dyDescent="0.3">
      <c r="B104" t="s">
        <v>23</v>
      </c>
      <c r="D104" t="s">
        <v>44</v>
      </c>
      <c r="E104" t="s">
        <v>141</v>
      </c>
      <c r="F104" t="s">
        <v>141</v>
      </c>
    </row>
    <row r="105" spans="2:6" x14ac:dyDescent="0.3">
      <c r="B105" t="s">
        <v>146</v>
      </c>
      <c r="D105" t="s">
        <v>4</v>
      </c>
    </row>
    <row r="106" spans="2:6" x14ac:dyDescent="0.3">
      <c r="B106" t="s">
        <v>8</v>
      </c>
      <c r="C106" t="s">
        <v>11</v>
      </c>
      <c r="D106" t="s">
        <v>5</v>
      </c>
      <c r="E106" t="s">
        <v>147</v>
      </c>
      <c r="F106" t="s">
        <v>147</v>
      </c>
    </row>
    <row r="107" spans="2:6" x14ac:dyDescent="0.3">
      <c r="B107" t="s">
        <v>23</v>
      </c>
      <c r="D107" t="s">
        <v>44</v>
      </c>
      <c r="E107" t="s">
        <v>141</v>
      </c>
      <c r="F107" t="s">
        <v>141</v>
      </c>
    </row>
    <row r="108" spans="2:6" x14ac:dyDescent="0.3">
      <c r="B108" t="s">
        <v>144</v>
      </c>
      <c r="D108" t="s">
        <v>4</v>
      </c>
    </row>
    <row r="109" spans="2:6" x14ac:dyDescent="0.3">
      <c r="B109" t="s">
        <v>8</v>
      </c>
      <c r="C109" t="s">
        <v>11</v>
      </c>
      <c r="D109" t="s">
        <v>5</v>
      </c>
      <c r="E109" t="s">
        <v>145</v>
      </c>
      <c r="F109" t="s">
        <v>145</v>
      </c>
    </row>
    <row r="110" spans="2:6" x14ac:dyDescent="0.3">
      <c r="B110" t="s">
        <v>23</v>
      </c>
      <c r="D110" t="s">
        <v>149</v>
      </c>
      <c r="E110" t="s">
        <v>148</v>
      </c>
      <c r="F110" t="s">
        <v>148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7620</xdr:colOff>
                    <xdr:row>0</xdr:row>
                    <xdr:rowOff>38100</xdr:rowOff>
                  </from>
                  <to>
                    <xdr:col>14</xdr:col>
                    <xdr:colOff>541020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130"/>
  <sheetViews>
    <sheetView topLeftCell="A105" workbookViewId="0">
      <selection activeCell="F2" sqref="F2:G130"/>
    </sheetView>
  </sheetViews>
  <sheetFormatPr defaultRowHeight="14.4" x14ac:dyDescent="0.3"/>
  <cols>
    <col min="6" max="6" width="31.44140625" customWidth="1"/>
    <col min="7" max="7" width="8.88671875" customWidth="1"/>
  </cols>
  <sheetData>
    <row r="1" spans="6:7" x14ac:dyDescent="0.3">
      <c r="F1" t="str">
        <f>""""&amp;Input!E1&amp;""":{"</f>
        <v>"en":{</v>
      </c>
      <c r="G1" t="str">
        <f>""""&amp;Input!F1&amp;""":{"</f>
        <v>"es":{</v>
      </c>
    </row>
    <row r="2" spans="6:7" x14ac:dyDescent="0.3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3">
      <c r="F3" t="str">
        <f>IF(ISBLANK(Input!$B3),"",Input!$A3&amp;""""&amp;Input!$B3&amp;""":"&amp;Input!$C3&amp;Input!E3&amp;Input!$C3&amp;Input!$D3&amp;IF(ISBLANK(Input!$B4),"}"&amp;IF(ISBLANK(G$1),"",","),""))</f>
        <v>"appName":"CIT",</v>
      </c>
      <c r="G3" t="str">
        <f>IF(ISBLANK(Input!$B3),"",Input!$A3&amp;""""&amp;Input!$B3&amp;""":"&amp;Input!$C3&amp;Input!F3&amp;Input!$C3&amp;Input!$D3&amp;IF(ISBLANK(Input!$B4),"}"&amp;IF(ISBLANK(H$1),"",","),""))</f>
        <v>"appName":"CIT",</v>
      </c>
    </row>
    <row r="4" spans="6:7" x14ac:dyDescent="0.3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3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3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3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3">
      <c r="F8" t="str">
        <f>IF(ISBLANK(Input!$B8),"",Input!$A8&amp;""""&amp;Input!$B8&amp;""":"&amp;Input!$C8&amp;Input!E8&amp;Input!$C8&amp;Input!$D8&amp;IF(ISBLANK(Input!$B9),"}"&amp;IF(ISBLANK(G$1),"",","),""))</f>
        <v>"documentation":"ol-system.pdf",</v>
      </c>
      <c r="G8" t="str">
        <f>IF(ISBLANK(Input!$B8),"",Input!$A8&amp;""""&amp;Input!$B8&amp;""":"&amp;Input!$C8&amp;Input!F8&amp;Input!$C8&amp;Input!$D8&amp;IF(ISBLANK(Input!$B9),"}"&amp;IF(ISBLANK(H$1),"",","),""))</f>
        <v>"documentation":"ol-system.pdf",</v>
      </c>
    </row>
    <row r="9" spans="6:7" x14ac:dyDescent="0.3">
      <c r="F9" t="str">
        <f>IF(ISBLANK(Input!$B9),"",Input!$A9&amp;""""&amp;Input!$B9&amp;""":"&amp;Input!$C9&amp;Input!E9&amp;Input!$C9&amp;Input!$D9&amp;IF(ISBLANK(Input!$B10),"}"&amp;IF(ISBLANK(G$1),"",","),""))</f>
        <v>"fGens":{</v>
      </c>
      <c r="G9" t="str">
        <f>IF(ISBLANK(Input!$B9),"",Input!$A9&amp;""""&amp;Input!$B9&amp;""":"&amp;Input!$C9&amp;Input!F9&amp;Input!$C9&amp;Input!$D9&amp;IF(ISBLANK(Input!$B10),"}"&amp;IF(ISBLANK(H$1),"",","),""))</f>
        <v>"fGens":{</v>
      </c>
    </row>
    <row r="10" spans="6:7" x14ac:dyDescent="0.3">
      <c r="F10" t="str">
        <f>IF(ISBLANK(Input!$B10),"",Input!$A10&amp;""""&amp;Input!$B10&amp;""":"&amp;Input!$C10&amp;Input!E10&amp;Input!$C10&amp;Input!$D10&amp;IF(ISBLANK(Input!$B11),"}"&amp;IF(ISBLANK(G$1),"",","),""))</f>
        <v>"u":{</v>
      </c>
      <c r="G10" t="str">
        <f>IF(ISBLANK(Input!$B10),"",Input!$A10&amp;""""&amp;Input!$B10&amp;""":"&amp;Input!$C10&amp;Input!F10&amp;Input!$C10&amp;Input!$D10&amp;IF(ISBLANK(Input!$B11),"}"&amp;IF(ISBLANK(H$1),"",","),""))</f>
        <v>"u":{</v>
      </c>
    </row>
    <row r="11" spans="6:7" x14ac:dyDescent="0.3">
      <c r="F11" t="str">
        <f>IF(ISBLANK(Input!$B11),"",Input!$A11&amp;""""&amp;Input!$B11&amp;""":"&amp;Input!$C11&amp;Input!E11&amp;Input!$C11&amp;Input!$D11&amp;IF(ISBLANK(Input!$B12),"}"&amp;IF(ISBLANK(G$1),"",","),""))</f>
        <v>"name":"Input to the system, $u(t)$"}},</v>
      </c>
      <c r="G11" t="str">
        <f>IF(ISBLANK(Input!$B11),"",Input!$A11&amp;""""&amp;Input!$B11&amp;""":"&amp;Input!$C11&amp;Input!F11&amp;Input!$C11&amp;Input!$D11&amp;IF(ISBLANK(Input!$B12),"}"&amp;IF(ISBLANK(H$1),"",","),""))</f>
        <v>"name":"Entrada al sistema, $u(t)$"}},</v>
      </c>
    </row>
    <row r="12" spans="6:7" x14ac:dyDescent="0.3">
      <c r="F12" t="str">
        <f>IF(ISBLANK(Input!$B12),"",Input!$A12&amp;""""&amp;Input!$B12&amp;""":"&amp;Input!$C12&amp;Input!E12&amp;Input!$C12&amp;Input!$D12&amp;IF(ISBLANK(Input!$B13),"}"&amp;IF(ISBLANK(G$1),"",","),""))</f>
        <v>"inputs":{</v>
      </c>
      <c r="G12" t="str">
        <f>IF(ISBLANK(Input!$B12),"",Input!$A12&amp;""""&amp;Input!$B12&amp;""":"&amp;Input!$C12&amp;Input!F12&amp;Input!$C12&amp;Input!$D12&amp;IF(ISBLANK(Input!$B13),"}"&amp;IF(ISBLANK(H$1),"",","),""))</f>
        <v>"inputs":{</v>
      </c>
    </row>
    <row r="13" spans="6:7" x14ac:dyDescent="0.3">
      <c r="F13" t="str">
        <f>IF(ISBLANK(Input!$B13),"",Input!$A13&amp;""""&amp;Input!$B13&amp;""":"&amp;Input!$C13&amp;Input!E13&amp;Input!$C13&amp;Input!$D13&amp;IF(ISBLANK(Input!$B14),"}"&amp;IF(ISBLANK(G$1),"",","),""))</f>
        <v>"in":"System output, $y(t)$"},</v>
      </c>
      <c r="G13" t="str">
        <f>IF(ISBLANK(Input!$B13),"",Input!$A13&amp;""""&amp;Input!$B13&amp;""":"&amp;Input!$C13&amp;Input!F13&amp;Input!$C13&amp;Input!$D13&amp;IF(ISBLANK(Input!$B14),"}"&amp;IF(ISBLANK(H$1),"",","),""))</f>
        <v>"in":"Salida del sistema, $y(t)$"},</v>
      </c>
    </row>
    <row r="14" spans="6:7" x14ac:dyDescent="0.3">
      <c r="F14" t="str">
        <f>IF(ISBLANK(Input!$B14),"",Input!$A14&amp;""""&amp;Input!$B14&amp;""":"&amp;Input!$C14&amp;Input!E14&amp;Input!$C14&amp;Input!$D14&amp;IF(ISBLANK(Input!$B15),"}"&amp;IF(ISBLANK(G$1),"",","),""))</f>
        <v>"outputs":{</v>
      </c>
      <c r="G14" t="str">
        <f>IF(ISBLANK(Input!$B14),"",Input!$A14&amp;""""&amp;Input!$B14&amp;""":"&amp;Input!$C14&amp;Input!F14&amp;Input!$C14&amp;Input!$D14&amp;IF(ISBLANK(Input!$B15),"}"&amp;IF(ISBLANK(H$1),"",","),""))</f>
        <v>"outputs":{</v>
      </c>
    </row>
    <row r="15" spans="6:7" x14ac:dyDescent="0.3">
      <c r="F15" t="str">
        <f>IF(ISBLANK(Input!$B15),"",Input!$A15&amp;""""&amp;Input!$B15&amp;""":"&amp;Input!$C15&amp;Input!E15&amp;Input!$C15&amp;Input!$D15&amp;IF(ISBLANK(Input!$B16),"}"&amp;IF(ISBLANK(G$1),"",","),""))</f>
        <v>"out":"System input, $u(t)$"}},</v>
      </c>
      <c r="G15" t="str">
        <f>IF(ISBLANK(Input!$B15),"",Input!$A15&amp;""""&amp;Input!$B15&amp;""":"&amp;Input!$C15&amp;Input!F15&amp;Input!$C15&amp;Input!$D15&amp;IF(ISBLANK(Input!$B16),"}"&amp;IF(ISBLANK(H$1),"",","),""))</f>
        <v>"out":"Entrada del sistema, $u(t)$"}},</v>
      </c>
    </row>
    <row r="16" spans="6:7" x14ac:dyDescent="0.3">
      <c r="F16" t="str">
        <f>IF(ISBLANK(Input!$B16),"",Input!$A16&amp;""""&amp;Input!$B16&amp;""":"&amp;Input!$C16&amp;Input!E16&amp;Input!$C16&amp;Input!$D16&amp;IF(ISBLANK(Input!$B17),"}"&amp;IF(ISBLANK(G$1),"",","),""))</f>
        <v>"pid":{</v>
      </c>
      <c r="G16" t="str">
        <f>IF(ISBLANK(Input!$B16),"",Input!$A16&amp;""""&amp;Input!$B16&amp;""":"&amp;Input!$C16&amp;Input!F16&amp;Input!$C16&amp;Input!$D16&amp;IF(ISBLANK(Input!$B17),"}"&amp;IF(ISBLANK(H$1),"",","),""))</f>
        <v>"pid":{</v>
      </c>
    </row>
    <row r="17" spans="6:7" x14ac:dyDescent="0.3">
      <c r="F17" t="str">
        <f>IF(ISBLANK(Input!$B17),"",Input!$A17&amp;""""&amp;Input!$B17&amp;""":"&amp;Input!$C17&amp;Input!E17&amp;Input!$C17&amp;Input!$D17&amp;IF(ISBLANK(Input!$B18),"}"&amp;IF(ISBLANK(G$1),"",","),""))</f>
        <v>"name":"PID controller",</v>
      </c>
      <c r="G17" t="str">
        <f>IF(ISBLANK(Input!$B17),"",Input!$A17&amp;""""&amp;Input!$B17&amp;""":"&amp;Input!$C17&amp;Input!F17&amp;Input!$C17&amp;Input!$D17&amp;IF(ISBLANK(Input!$B18),"}"&amp;IF(ISBLANK(H$1),"",","),""))</f>
        <v>"name":"Controlador PID",</v>
      </c>
    </row>
    <row r="18" spans="6:7" x14ac:dyDescent="0.3">
      <c r="F18" t="str">
        <f>IF(ISBLANK(Input!$B18),"",Input!$A18&amp;""""&amp;Input!$B18&amp;""":"&amp;Input!$C18&amp;Input!E18&amp;Input!$C18&amp;Input!$D18&amp;IF(ISBLANK(Input!$B19),"}"&amp;IF(ISBLANK(G$1),"",","),""))</f>
        <v>"documentation":"pid.pdf",</v>
      </c>
      <c r="G18" t="str">
        <f>IF(ISBLANK(Input!$B18),"",Input!$A18&amp;""""&amp;Input!$B18&amp;""":"&amp;Input!$C18&amp;Input!F18&amp;Input!$C18&amp;Input!$D18&amp;IF(ISBLANK(Input!$B19),"}"&amp;IF(ISBLANK(H$1),"",","),""))</f>
        <v>"documentation":"pid.pdf",</v>
      </c>
    </row>
    <row r="19" spans="6:7" x14ac:dyDescent="0.3">
      <c r="F19" t="str">
        <f>IF(ISBLANK(Input!$B19),"",Input!$A19&amp;""""&amp;Input!$B19&amp;""":"&amp;Input!$C19&amp;Input!E19&amp;Input!$C19&amp;Input!$D19&amp;IF(ISBLANK(Input!$B20),"}"&amp;IF(ISBLANK(G$1),"",","),""))</f>
        <v>"params":{</v>
      </c>
      <c r="G19" t="str">
        <f>IF(ISBLANK(Input!$B19),"",Input!$A19&amp;""""&amp;Input!$B19&amp;""":"&amp;Input!$C19&amp;Input!F19&amp;Input!$C19&amp;Input!$D19&amp;IF(ISBLANK(Input!$B20),"}"&amp;IF(ISBLANK(H$1),"",","),""))</f>
        <v>"params":{</v>
      </c>
    </row>
    <row r="20" spans="6:7" x14ac:dyDescent="0.3">
      <c r="F20" t="str">
        <f>IF(ISBLANK(Input!$B20),"",Input!$A20&amp;""""&amp;Input!$B20&amp;""":"&amp;Input!$C20&amp;Input!E20&amp;Input!$C20&amp;Input!$D20&amp;IF(ISBLANK(Input!$B21),"}"&amp;IF(ISBLANK(G$1),"",","),""))</f>
        <v>"k-p":{</v>
      </c>
      <c r="G20" t="str">
        <f>IF(ISBLANK(Input!$B20),"",Input!$A20&amp;""""&amp;Input!$B20&amp;""":"&amp;Input!$C20&amp;Input!F20&amp;Input!$C20&amp;Input!$D20&amp;IF(ISBLANK(Input!$B21),"}"&amp;IF(ISBLANK(H$1),"",","),""))</f>
        <v>"k-p":{</v>
      </c>
    </row>
    <row r="21" spans="6:7" x14ac:dyDescent="0.3">
      <c r="F21" t="str">
        <f>IF(ISBLANK(Input!$B21),"",Input!$A21&amp;""""&amp;Input!$B21&amp;""":"&amp;Input!$C21&amp;Input!E21&amp;Input!$C21&amp;Input!$D21&amp;IF(ISBLANK(Input!$B22),"}"&amp;IF(ISBLANK(G$1),"",","),""))</f>
        <v>"name":"Proportional constant, $K_P$",</v>
      </c>
      <c r="G21" t="str">
        <f>IF(ISBLANK(Input!$B21),"",Input!$A21&amp;""""&amp;Input!$B21&amp;""":"&amp;Input!$C21&amp;Input!F21&amp;Input!$C21&amp;Input!$D21&amp;IF(ISBLANK(Input!$B22),"}"&amp;IF(ISBLANK(H$1),"",","),""))</f>
        <v>"name":"Constante proporcional, $K_P$",</v>
      </c>
    </row>
    <row r="22" spans="6:7" x14ac:dyDescent="0.3">
      <c r="F22" t="str">
        <f>IF(ISBLANK(Input!$B22),"",Input!$A22&amp;""""&amp;Input!$B22&amp;""":"&amp;Input!$C22&amp;Input!E22&amp;Input!$C22&amp;Input!$D22&amp;IF(ISBLANK(Input!$B23),"}"&amp;IF(ISBLANK(G$1),"",","),""))</f>
        <v>"dValue":10,</v>
      </c>
      <c r="G22" t="str">
        <f>IF(ISBLANK(Input!$B22),"",Input!$A22&amp;""""&amp;Input!$B22&amp;""":"&amp;Input!$C22&amp;Input!F22&amp;Input!$C22&amp;Input!$D22&amp;IF(ISBLANK(Input!$B23),"}"&amp;IF(ISBLANK(H$1),"",","),""))</f>
        <v>"dValue":10,</v>
      </c>
    </row>
    <row r="23" spans="6:7" x14ac:dyDescent="0.3">
      <c r="F23" t="str">
        <f>IF(ISBLANK(Input!$B23),"",Input!$A23&amp;""""&amp;Input!$B23&amp;""":"&amp;Input!$C23&amp;Input!E23&amp;Input!$C23&amp;Input!$D23&amp;IF(ISBLANK(Input!$B24),"}"&amp;IF(ISBLANK(G$1),"",","),""))</f>
        <v>"min":-Infinity,</v>
      </c>
      <c r="G23" t="str">
        <f>IF(ISBLANK(Input!$B23),"",Input!$A23&amp;""""&amp;Input!$B23&amp;""":"&amp;Input!$C23&amp;Input!F23&amp;Input!$C23&amp;Input!$D23&amp;IF(ISBLANK(Input!$B24),"}"&amp;IF(ISBLANK(H$1),"",","),""))</f>
        <v>"min":-Infinity,</v>
      </c>
    </row>
    <row r="24" spans="6:7" x14ac:dyDescent="0.3">
      <c r="F24" t="str">
        <f>IF(ISBLANK(Input!$B24),"",Input!$A24&amp;""""&amp;Input!$B24&amp;""":"&amp;Input!$C24&amp;Input!E24&amp;Input!$C24&amp;Input!$D24&amp;IF(ISBLANK(Input!$B25),"}"&amp;IF(ISBLANK(G$1),"",","),""))</f>
        <v>"max":Infinity},</v>
      </c>
      <c r="G24" t="str">
        <f>IF(ISBLANK(Input!$B24),"",Input!$A24&amp;""""&amp;Input!$B24&amp;""":"&amp;Input!$C24&amp;Input!F24&amp;Input!$C24&amp;Input!$D24&amp;IF(ISBLANK(Input!$B25),"}"&amp;IF(ISBLANK(H$1),"",","),""))</f>
        <v>"max":Infinity},</v>
      </c>
    </row>
    <row r="25" spans="6:7" x14ac:dyDescent="0.3">
      <c r="F25" t="str">
        <f>IF(ISBLANK(Input!$B25),"",Input!$A25&amp;""""&amp;Input!$B25&amp;""":"&amp;Input!$C25&amp;Input!E25&amp;Input!$C25&amp;Input!$D25&amp;IF(ISBLANK(Input!$B26),"}"&amp;IF(ISBLANK(G$1),"",","),""))</f>
        <v>"k-i":{</v>
      </c>
      <c r="G25" t="str">
        <f>IF(ISBLANK(Input!$B25),"",Input!$A25&amp;""""&amp;Input!$B25&amp;""":"&amp;Input!$C25&amp;Input!F25&amp;Input!$C25&amp;Input!$D25&amp;IF(ISBLANK(Input!$B26),"}"&amp;IF(ISBLANK(H$1),"",","),""))</f>
        <v>"k-i":{</v>
      </c>
    </row>
    <row r="26" spans="6:7" x14ac:dyDescent="0.3">
      <c r="F26" t="str">
        <f>IF(ISBLANK(Input!$B26),"",Input!$A26&amp;""""&amp;Input!$B26&amp;""":"&amp;Input!$C26&amp;Input!E26&amp;Input!$C26&amp;Input!$D26&amp;IF(ISBLANK(Input!$B27),"}"&amp;IF(ISBLANK(G$1),"",","),""))</f>
        <v>"name":"Integral constant, $K_I$",</v>
      </c>
      <c r="G26" t="str">
        <f>IF(ISBLANK(Input!$B26),"",Input!$A26&amp;""""&amp;Input!$B26&amp;""":"&amp;Input!$C26&amp;Input!F26&amp;Input!$C26&amp;Input!$D26&amp;IF(ISBLANK(Input!$B27),"}"&amp;IF(ISBLANK(H$1),"",","),""))</f>
        <v>"name":"Constante integral, $K_I$",</v>
      </c>
    </row>
    <row r="27" spans="6:7" x14ac:dyDescent="0.3">
      <c r="F27" t="str">
        <f>IF(ISBLANK(Input!$B27),"",Input!$A27&amp;""""&amp;Input!$B27&amp;""":"&amp;Input!$C27&amp;Input!E27&amp;Input!$C27&amp;Input!$D27&amp;IF(ISBLANK(Input!$B28),"}"&amp;IF(ISBLANK(G$1),"",","),""))</f>
        <v>"dValue":1,</v>
      </c>
      <c r="G27" t="str">
        <f>IF(ISBLANK(Input!$B27),"",Input!$A27&amp;""""&amp;Input!$B27&amp;""":"&amp;Input!$C27&amp;Input!F27&amp;Input!$C27&amp;Input!$D27&amp;IF(ISBLANK(Input!$B28),"}"&amp;IF(ISBLANK(H$1),"",","),""))</f>
        <v>"dValue":1,</v>
      </c>
    </row>
    <row r="28" spans="6:7" x14ac:dyDescent="0.3">
      <c r="F28" t="str">
        <f>IF(ISBLANK(Input!$B28),"",Input!$A28&amp;""""&amp;Input!$B28&amp;""":"&amp;Input!$C28&amp;Input!E28&amp;Input!$C28&amp;Input!$D28&amp;IF(ISBLANK(Input!$B29),"}"&amp;IF(ISBLANK(G$1),"",","),""))</f>
        <v>"min":-Infinity,</v>
      </c>
      <c r="G28" t="str">
        <f>IF(ISBLANK(Input!$B28),"",Input!$A28&amp;""""&amp;Input!$B28&amp;""":"&amp;Input!$C28&amp;Input!F28&amp;Input!$C28&amp;Input!$D28&amp;IF(ISBLANK(Input!$B29),"}"&amp;IF(ISBLANK(H$1),"",","),""))</f>
        <v>"min":-Infinity,</v>
      </c>
    </row>
    <row r="29" spans="6:7" x14ac:dyDescent="0.3">
      <c r="F29" t="str">
        <f>IF(ISBLANK(Input!$B29),"",Input!$A29&amp;""""&amp;Input!$B29&amp;""":"&amp;Input!$C29&amp;Input!E29&amp;Input!$C29&amp;Input!$D29&amp;IF(ISBLANK(Input!$B30),"}"&amp;IF(ISBLANK(G$1),"",","),""))</f>
        <v>"max":Infinity},</v>
      </c>
      <c r="G29" t="str">
        <f>IF(ISBLANK(Input!$B29),"",Input!$A29&amp;""""&amp;Input!$B29&amp;""":"&amp;Input!$C29&amp;Input!F29&amp;Input!$C29&amp;Input!$D29&amp;IF(ISBLANK(Input!$B30),"}"&amp;IF(ISBLANK(H$1),"",","),""))</f>
        <v>"max":Infinity},</v>
      </c>
    </row>
    <row r="30" spans="6:7" x14ac:dyDescent="0.3">
      <c r="F30" t="str">
        <f>IF(ISBLANK(Input!$B30),"",Input!$A30&amp;""""&amp;Input!$B30&amp;""":"&amp;Input!$C30&amp;Input!E30&amp;Input!$C30&amp;Input!$D30&amp;IF(ISBLANK(Input!$B31),"}"&amp;IF(ISBLANK(G$1),"",","),""))</f>
        <v>"k-d":{</v>
      </c>
      <c r="G30" t="str">
        <f>IF(ISBLANK(Input!$B30),"",Input!$A30&amp;""""&amp;Input!$B30&amp;""":"&amp;Input!$C30&amp;Input!F30&amp;Input!$C30&amp;Input!$D30&amp;IF(ISBLANK(Input!$B31),"}"&amp;IF(ISBLANK(H$1),"",","),""))</f>
        <v>"k-d":{</v>
      </c>
    </row>
    <row r="31" spans="6:7" x14ac:dyDescent="0.3">
      <c r="F31" t="str">
        <f>IF(ISBLANK(Input!$B31),"",Input!$A31&amp;""""&amp;Input!$B31&amp;""":"&amp;Input!$C31&amp;Input!E31&amp;Input!$C31&amp;Input!$D31&amp;IF(ISBLANK(Input!$B32),"}"&amp;IF(ISBLANK(G$1),"",","),""))</f>
        <v>"name":"Derivative constant, $K_D$",</v>
      </c>
      <c r="G31" t="str">
        <f>IF(ISBLANK(Input!$B31),"",Input!$A31&amp;""""&amp;Input!$B31&amp;""":"&amp;Input!$C31&amp;Input!F31&amp;Input!$C31&amp;Input!$D31&amp;IF(ISBLANK(Input!$B32),"}"&amp;IF(ISBLANK(H$1),"",","),""))</f>
        <v>"name":"Constante derivada, $K_D$",</v>
      </c>
    </row>
    <row r="32" spans="6:7" x14ac:dyDescent="0.3">
      <c r="F32" t="str">
        <f>IF(ISBLANK(Input!$B32),"",Input!$A32&amp;""""&amp;Input!$B32&amp;""":"&amp;Input!$C32&amp;Input!E32&amp;Input!$C32&amp;Input!$D32&amp;IF(ISBLANK(Input!$B33),"}"&amp;IF(ISBLANK(G$1),"",","),""))</f>
        <v>"dValue":0,</v>
      </c>
      <c r="G32" t="str">
        <f>IF(ISBLANK(Input!$B32),"",Input!$A32&amp;""""&amp;Input!$B32&amp;""":"&amp;Input!$C32&amp;Input!F32&amp;Input!$C32&amp;Input!$D32&amp;IF(ISBLANK(Input!$B33),"}"&amp;IF(ISBLANK(H$1),"",","),""))</f>
        <v>"dValue":0,</v>
      </c>
    </row>
    <row r="33" spans="6:7" x14ac:dyDescent="0.3">
      <c r="F33" t="str">
        <f>IF(ISBLANK(Input!$B33),"",Input!$A33&amp;""""&amp;Input!$B33&amp;""":"&amp;Input!$C33&amp;Input!E33&amp;Input!$C33&amp;Input!$D33&amp;IF(ISBLANK(Input!$B34),"}"&amp;IF(ISBLANK(G$1),"",","),""))</f>
        <v>"min":-Infinity,</v>
      </c>
      <c r="G33" t="str">
        <f>IF(ISBLANK(Input!$B33),"",Input!$A33&amp;""""&amp;Input!$B33&amp;""":"&amp;Input!$C33&amp;Input!F33&amp;Input!$C33&amp;Input!$D33&amp;IF(ISBLANK(Input!$B34),"}"&amp;IF(ISBLANK(H$1),"",","),""))</f>
        <v>"min":-Infinity,</v>
      </c>
    </row>
    <row r="34" spans="6:7" x14ac:dyDescent="0.3">
      <c r="F34" t="str">
        <f>IF(ISBLANK(Input!$B34),"",Input!$A34&amp;""""&amp;Input!$B34&amp;""":"&amp;Input!$C34&amp;Input!E34&amp;Input!$C34&amp;Input!$D34&amp;IF(ISBLANK(Input!$B35),"}"&amp;IF(ISBLANK(G$1),"",","),""))</f>
        <v>"max":Infinity}},</v>
      </c>
      <c r="G34" t="str">
        <f>IF(ISBLANK(Input!$B34),"",Input!$A34&amp;""""&amp;Input!$B34&amp;""":"&amp;Input!$C34&amp;Input!F34&amp;Input!$C34&amp;Input!$D34&amp;IF(ISBLANK(Input!$B35),"}"&amp;IF(ISBLANK(H$1),"",","),""))</f>
        <v>"max":Infinity}},</v>
      </c>
    </row>
    <row r="35" spans="6:7" x14ac:dyDescent="0.3">
      <c r="F35" t="str">
        <f>IF(ISBLANK(Input!$B35),"",Input!$A35&amp;""""&amp;Input!$B35&amp;""":"&amp;Input!$C35&amp;Input!E35&amp;Input!$C35&amp;Input!$D35&amp;IF(ISBLANK(Input!$B36),"}"&amp;IF(ISBLANK(G$1),"",","),""))</f>
        <v>"fGens":{</v>
      </c>
      <c r="G35" t="str">
        <f>IF(ISBLANK(Input!$B35),"",Input!$A35&amp;""""&amp;Input!$B35&amp;""":"&amp;Input!$C35&amp;Input!F35&amp;Input!$C35&amp;Input!$D35&amp;IF(ISBLANK(Input!$B36),"}"&amp;IF(ISBLANK(H$1),"",","),""))</f>
        <v>"fGens":{</v>
      </c>
    </row>
    <row r="36" spans="6:7" x14ac:dyDescent="0.3">
      <c r="F36" t="str">
        <f>IF(ISBLANK(Input!$B36),"",Input!$A36&amp;""""&amp;Input!$B36&amp;""":"&amp;Input!$C36&amp;Input!E36&amp;Input!$C36&amp;Input!$D36&amp;IF(ISBLANK(Input!$B37),"}"&amp;IF(ISBLANK(G$1),"",","),""))</f>
        <v>"u":{</v>
      </c>
      <c r="G36" t="str">
        <f>IF(ISBLANK(Input!$B36),"",Input!$A36&amp;""""&amp;Input!$B36&amp;""":"&amp;Input!$C36&amp;Input!F36&amp;Input!$C36&amp;Input!$D36&amp;IF(ISBLANK(Input!$B37),"}"&amp;IF(ISBLANK(H$1),"",","),""))</f>
        <v>"u":{</v>
      </c>
    </row>
    <row r="37" spans="6:7" x14ac:dyDescent="0.3">
      <c r="F37" t="str">
        <f>IF(ISBLANK(Input!$B37),"",Input!$A37&amp;""""&amp;Input!$B37&amp;""":"&amp;Input!$C37&amp;Input!E37&amp;Input!$C37&amp;Input!$D37&amp;IF(ISBLANK(Input!$B38),"}"&amp;IF(ISBLANK(G$1),"",","),""))</f>
        <v>"name":"Reference, $r(t)$"}},</v>
      </c>
      <c r="G37" t="str">
        <f>IF(ISBLANK(Input!$B37),"",Input!$A37&amp;""""&amp;Input!$B37&amp;""":"&amp;Input!$C37&amp;Input!F37&amp;Input!$C37&amp;Input!$D37&amp;IF(ISBLANK(Input!$B38),"}"&amp;IF(ISBLANK(H$1),"",","),""))</f>
        <v>"name":"Referencia, $r(t)$"}},</v>
      </c>
    </row>
    <row r="38" spans="6:7" x14ac:dyDescent="0.3">
      <c r="F38" t="str">
        <f>IF(ISBLANK(Input!$B38),"",Input!$A38&amp;""""&amp;Input!$B38&amp;""":"&amp;Input!$C38&amp;Input!E38&amp;Input!$C38&amp;Input!$D38&amp;IF(ISBLANK(Input!$B39),"}"&amp;IF(ISBLANK(G$1),"",","),""))</f>
        <v>"inputs":{</v>
      </c>
      <c r="G38" t="str">
        <f>IF(ISBLANK(Input!$B38),"",Input!$A38&amp;""""&amp;Input!$B38&amp;""":"&amp;Input!$C38&amp;Input!F38&amp;Input!$C38&amp;Input!$D38&amp;IF(ISBLANK(Input!$B39),"}"&amp;IF(ISBLANK(H$1),"",","),""))</f>
        <v>"inputs":{</v>
      </c>
    </row>
    <row r="39" spans="6:7" x14ac:dyDescent="0.3">
      <c r="F39" t="str">
        <f>IF(ISBLANK(Input!$B39),"",Input!$A39&amp;""""&amp;Input!$B39&amp;""":"&amp;Input!$C39&amp;Input!E39&amp;Input!$C39&amp;Input!$D39&amp;IF(ISBLANK(Input!$B40),"}"&amp;IF(ISBLANK(G$1),"",","),""))</f>
        <v>"in":"System output, $y(t)$"},</v>
      </c>
      <c r="G39" t="str">
        <f>IF(ISBLANK(Input!$B39),"",Input!$A39&amp;""""&amp;Input!$B39&amp;""":"&amp;Input!$C39&amp;Input!F39&amp;Input!$C39&amp;Input!$D39&amp;IF(ISBLANK(Input!$B40),"}"&amp;IF(ISBLANK(H$1),"",","),""))</f>
        <v>"in":"Salida del sistema, $y(t)$"},</v>
      </c>
    </row>
    <row r="40" spans="6:7" x14ac:dyDescent="0.3">
      <c r="F40" t="str">
        <f>IF(ISBLANK(Input!$B40),"",Input!$A40&amp;""""&amp;Input!$B40&amp;""":"&amp;Input!$C40&amp;Input!E40&amp;Input!$C40&amp;Input!$D40&amp;IF(ISBLANK(Input!$B41),"}"&amp;IF(ISBLANK(G$1),"",","),""))</f>
        <v>"outputs":{</v>
      </c>
      <c r="G40" t="str">
        <f>IF(ISBLANK(Input!$B40),"",Input!$A40&amp;""""&amp;Input!$B40&amp;""":"&amp;Input!$C40&amp;Input!F40&amp;Input!$C40&amp;Input!$D40&amp;IF(ISBLANK(Input!$B41),"}"&amp;IF(ISBLANK(H$1),"",","),""))</f>
        <v>"outputs":{</v>
      </c>
    </row>
    <row r="41" spans="6:7" x14ac:dyDescent="0.3">
      <c r="F41" t="str">
        <f>IF(ISBLANK(Input!$B41),"",Input!$A41&amp;""""&amp;Input!$B41&amp;""":"&amp;Input!$C41&amp;Input!E41&amp;Input!$C41&amp;Input!$D41&amp;IF(ISBLANK(Input!$B42),"}"&amp;IF(ISBLANK(G$1),"",","),""))</f>
        <v>"out":"Control signal, $u(t)$"}}},</v>
      </c>
      <c r="G41" t="str">
        <f>IF(ISBLANK(Input!$B41),"",Input!$A41&amp;""""&amp;Input!$B41&amp;""":"&amp;Input!$C41&amp;Input!F41&amp;Input!$C41&amp;Input!$D41&amp;IF(ISBLANK(Input!$B42),"}"&amp;IF(ISBLANK(H$1),"",","),""))</f>
        <v>"out":"Siñal de control, $u(t)$"}}},</v>
      </c>
    </row>
    <row r="42" spans="6:7" x14ac:dyDescent="0.3">
      <c r="F42" t="str">
        <f>IF(ISBLANK(Input!$B42),"",Input!$A42&amp;""""&amp;Input!$B42&amp;""":"&amp;Input!$C42&amp;Input!E42&amp;Input!$C42&amp;Input!$D42&amp;IF(ISBLANK(Input!$B43),"}"&amp;IF(ISBLANK(G$1),"",","),""))</f>
        <v>"mTabs":{</v>
      </c>
      <c r="G42" t="str">
        <f>IF(ISBLANK(Input!$B42),"",Input!$A42&amp;""""&amp;Input!$B42&amp;""":"&amp;Input!$C42&amp;Input!F42&amp;Input!$C42&amp;Input!$D42&amp;IF(ISBLANK(Input!$B43),"}"&amp;IF(ISBLANK(H$1),"",","),""))</f>
        <v>"mTabs":{</v>
      </c>
    </row>
    <row r="43" spans="6:7" x14ac:dyDescent="0.3">
      <c r="F43" t="str">
        <f>IF(ISBLANK(Input!$B43),"",Input!$A43&amp;""""&amp;Input!$B43&amp;""":"&amp;Input!$C43&amp;Input!E43&amp;Input!$C43&amp;Input!$D43&amp;IF(ISBLANK(Input!$B44),"}"&amp;IF(ISBLANK(G$1),"",","),""))</f>
        <v>"mModel":"Mathematical model",</v>
      </c>
      <c r="G43" t="str">
        <f>IF(ISBLANK(Input!$B43),"",Input!$A43&amp;""""&amp;Input!$B43&amp;""":"&amp;Input!$C43&amp;Input!F43&amp;Input!$C43&amp;Input!$D43&amp;IF(ISBLANK(Input!$B44),"}"&amp;IF(ISBLANK(H$1),"",","),""))</f>
        <v>"mModel":"Modelo matemático",</v>
      </c>
    </row>
    <row r="44" spans="6:7" x14ac:dyDescent="0.3">
      <c r="F44" t="str">
        <f>IF(ISBLANK(Input!$B44),"",Input!$A44&amp;""""&amp;Input!$B44&amp;""":"&amp;Input!$C44&amp;Input!E44&amp;Input!$C44&amp;Input!$D44&amp;IF(ISBLANK(Input!$B45),"}"&amp;IF(ISBLANK(G$1),"",","),""))</f>
        <v>"bridgeDevice":"Bridge device configuration",</v>
      </c>
      <c r="G44" t="str">
        <f>IF(ISBLANK(Input!$B44),"",Input!$A44&amp;""""&amp;Input!$B44&amp;""":"&amp;Input!$C44&amp;Input!F44&amp;Input!$C44&amp;Input!$D44&amp;IF(ISBLANK(Input!$B45),"}"&amp;IF(ISBLANK(H$1),"",","),""))</f>
        <v>"bridgeDevice":"Configuración del dispositivo puente",</v>
      </c>
    </row>
    <row r="45" spans="6:7" x14ac:dyDescent="0.3">
      <c r="F45" t="str">
        <f>IF(ISBLANK(Input!$B45),"",Input!$A45&amp;""""&amp;Input!$B45&amp;""":"&amp;Input!$C45&amp;Input!E45&amp;Input!$C45&amp;Input!$D45&amp;IF(ISBLANK(Input!$B46),"}"&amp;IF(ISBLANK(G$1),"",","),""))</f>
        <v>"params":"Simulation parameters",</v>
      </c>
      <c r="G45" t="str">
        <f>IF(ISBLANK(Input!$B45),"",Input!$A45&amp;""""&amp;Input!$B45&amp;""":"&amp;Input!$C45&amp;Input!F45&amp;Input!$C45&amp;Input!$D45&amp;IF(ISBLANK(Input!$B46),"}"&amp;IF(ISBLANK(H$1),"",","),""))</f>
        <v>"params":"Parámetros de simulación",</v>
      </c>
    </row>
    <row r="46" spans="6:7" x14ac:dyDescent="0.3">
      <c r="F46" t="str">
        <f>IF(ISBLANK(Input!$B46),"",Input!$A46&amp;""""&amp;Input!$B46&amp;""":"&amp;Input!$C46&amp;Input!E46&amp;Input!$C46&amp;Input!$D46&amp;IF(ISBLANK(Input!$B47),"}"&amp;IF(ISBLANK(G$1),"",","),""))</f>
        <v>"fGens":"Function generator(s)",</v>
      </c>
      <c r="G46" t="str">
        <f>IF(ISBLANK(Input!$B46),"",Input!$A46&amp;""""&amp;Input!$B46&amp;""":"&amp;Input!$C46&amp;Input!F46&amp;Input!$C46&amp;Input!$D46&amp;IF(ISBLANK(Input!$B47),"}"&amp;IF(ISBLANK(H$1),"",","),""))</f>
        <v>"fGens":"Generador(es) de funciones",</v>
      </c>
    </row>
    <row r="47" spans="6:7" x14ac:dyDescent="0.3">
      <c r="F47" t="str">
        <f>IF(ISBLANK(Input!$B47),"",Input!$A47&amp;""""&amp;Input!$B47&amp;""":"&amp;Input!$C47&amp;Input!E47&amp;Input!$C47&amp;Input!$D47&amp;IF(ISBLANK(Input!$B48),"}"&amp;IF(ISBLANK(G$1),"",","),""))</f>
        <v>"graphs":"Graphs"},</v>
      </c>
      <c r="G47" t="str">
        <f>IF(ISBLANK(Input!$B47),"",Input!$A47&amp;""""&amp;Input!$B47&amp;""":"&amp;Input!$C47&amp;Input!F47&amp;Input!$C47&amp;Input!$D47&amp;IF(ISBLANK(Input!$B48),"}"&amp;IF(ISBLANK(H$1),"",","),""))</f>
        <v>"graphs":"Gráficos"},</v>
      </c>
    </row>
    <row r="48" spans="6:7" x14ac:dyDescent="0.3">
      <c r="F48" t="str">
        <f>IF(ISBLANK(Input!$B48),"",Input!$A48&amp;""""&amp;Input!$B48&amp;""":"&amp;Input!$C48&amp;Input!E48&amp;Input!$C48&amp;Input!$D48&amp;IF(ISBLANK(Input!$B49),"}"&amp;IF(ISBLANK(G$1),"",","),""))</f>
        <v>"bridge":{</v>
      </c>
      <c r="G48" t="str">
        <f>IF(ISBLANK(Input!$B48),"",Input!$A48&amp;""""&amp;Input!$B48&amp;""":"&amp;Input!$C48&amp;Input!F48&amp;Input!$C48&amp;Input!$D48&amp;IF(ISBLANK(Input!$B49),"}"&amp;IF(ISBLANK(H$1),"",","),""))</f>
        <v>"bridge":{</v>
      </c>
    </row>
    <row r="49" spans="6:7" x14ac:dyDescent="0.3">
      <c r="F49" t="str">
        <f>IF(ISBLANK(Input!$B49),"",Input!$A49&amp;""""&amp;Input!$B49&amp;""":"&amp;Input!$C49&amp;Input!E49&amp;Input!$C49&amp;Input!$D49&amp;IF(ISBLANK(Input!$B50),"}"&amp;IF(ISBLANK(G$1),"",","),""))</f>
        <v>"iTypeName":"Input type",</v>
      </c>
      <c r="G49" t="str">
        <f>IF(ISBLANK(Input!$B49),"",Input!$A49&amp;""""&amp;Input!$B49&amp;""":"&amp;Input!$C49&amp;Input!F49&amp;Input!$C49&amp;Input!$D49&amp;IF(ISBLANK(Input!$B50),"}"&amp;IF(ISBLANK(H$1),"",","),""))</f>
        <v>"iTypeName":"Tipo de entrada",</v>
      </c>
    </row>
    <row r="50" spans="6:7" x14ac:dyDescent="0.3">
      <c r="F50" t="str">
        <f>IF(ISBLANK(Input!$B50),"",Input!$A50&amp;""""&amp;Input!$B50&amp;""":"&amp;Input!$C50&amp;Input!E50&amp;Input!$C50&amp;Input!$D50&amp;IF(ISBLANK(Input!$B51),"}"&amp;IF(ISBLANK(G$1),"",","),""))</f>
        <v>"iTypes":{</v>
      </c>
      <c r="G50" t="str">
        <f>IF(ISBLANK(Input!$B50),"",Input!$A50&amp;""""&amp;Input!$B50&amp;""":"&amp;Input!$C50&amp;Input!F50&amp;Input!$C50&amp;Input!$D50&amp;IF(ISBLANK(Input!$B51),"}"&amp;IF(ISBLANK(H$1),"",","),""))</f>
        <v>"iTypes":{</v>
      </c>
    </row>
    <row r="51" spans="6:7" x14ac:dyDescent="0.3">
      <c r="F51" t="str">
        <f>IF(ISBLANK(Input!$B51),"",Input!$A51&amp;""""&amp;Input!$B51&amp;""":"&amp;Input!$C51&amp;Input!E51&amp;Input!$C51&amp;Input!$D51&amp;IF(ISBLANK(Input!$B52),"}"&amp;IF(ISBLANK(G$1),"",","),""))</f>
        <v>"analog":"Analog voltage",</v>
      </c>
      <c r="G51" t="str">
        <f>IF(ISBLANK(Input!$B51),"",Input!$A51&amp;""""&amp;Input!$B51&amp;""":"&amp;Input!$C51&amp;Input!F51&amp;Input!$C51&amp;Input!$D51&amp;IF(ISBLANK(Input!$B52),"}"&amp;IF(ISBLANK(H$1),"",","),""))</f>
        <v>"analog":"Voltaje análogo",</v>
      </c>
    </row>
    <row r="52" spans="6:7" x14ac:dyDescent="0.3">
      <c r="F52" t="str">
        <f>IF(ISBLANK(Input!$B52),"",Input!$A52&amp;""""&amp;Input!$B52&amp;""":"&amp;Input!$C52&amp;Input!E52&amp;Input!$C52&amp;Input!$D52&amp;IF(ISBLANK(Input!$B53),"}"&amp;IF(ISBLANK(G$1),"",","),""))</f>
        <v>"encoder":"Encoder",</v>
      </c>
      <c r="G52" t="str">
        <f>IF(ISBLANK(Input!$B52),"",Input!$A52&amp;""""&amp;Input!$B52&amp;""":"&amp;Input!$C52&amp;Input!F52&amp;Input!$C52&amp;Input!$D52&amp;IF(ISBLANK(Input!$B53),"}"&amp;IF(ISBLANK(H$1),"",","),""))</f>
        <v>"encoder":"Codificador",</v>
      </c>
    </row>
    <row r="53" spans="6:7" x14ac:dyDescent="0.3">
      <c r="F53" t="str">
        <f>IF(ISBLANK(Input!$B53),"",Input!$A53&amp;""""&amp;Input!$B53&amp;""":"&amp;Input!$C53&amp;Input!E53&amp;Input!$C53&amp;Input!$D53&amp;IF(ISBLANK(Input!$B54),"}"&amp;IF(ISBLANK(G$1),"",","),""))</f>
        <v>"temp":"Temperature sensor",</v>
      </c>
      <c r="G53" t="str">
        <f>IF(ISBLANK(Input!$B53),"",Input!$A53&amp;""""&amp;Input!$B53&amp;""":"&amp;Input!$C53&amp;Input!F53&amp;Input!$C53&amp;Input!$D53&amp;IF(ISBLANK(Input!$B54),"}"&amp;IF(ISBLANK(H$1),"",","),""))</f>
        <v>"temp":"Sensor de temperatura",</v>
      </c>
    </row>
    <row r="54" spans="6:7" x14ac:dyDescent="0.3">
      <c r="F54" t="str">
        <f>IF(ISBLANK(Input!$B54),"",Input!$A54&amp;""""&amp;Input!$B54&amp;""":"&amp;Input!$C54&amp;Input!E54&amp;Input!$C54&amp;Input!$D54&amp;IF(ISBLANK(Input!$B55),"}"&amp;IF(ISBLANK(G$1),"",","),""))</f>
        <v>"humidity":"Humidity sensor",</v>
      </c>
      <c r="G54" t="str">
        <f>IF(ISBLANK(Input!$B54),"",Input!$A54&amp;""""&amp;Input!$B54&amp;""":"&amp;Input!$C54&amp;Input!F54&amp;Input!$C54&amp;Input!$D54&amp;IF(ISBLANK(Input!$B55),"}"&amp;IF(ISBLANK(H$1),"",","),""))</f>
        <v>"humidity":"Sensor de humedad",</v>
      </c>
    </row>
    <row r="55" spans="6:7" x14ac:dyDescent="0.3">
      <c r="F55" t="str">
        <f>IF(ISBLANK(Input!$B55),"",Input!$A55&amp;""""&amp;Input!$B55&amp;""":"&amp;Input!$C55&amp;Input!E55&amp;Input!$C55&amp;Input!$D55&amp;IF(ISBLANK(Input!$B56),"}"&amp;IF(ISBLANK(G$1),"",","),""))</f>
        <v>"current":"Aanalog current",</v>
      </c>
      <c r="G55" t="str">
        <f>IF(ISBLANK(Input!$B55),"",Input!$A55&amp;""""&amp;Input!$B55&amp;""":"&amp;Input!$C55&amp;Input!F55&amp;Input!$C55&amp;Input!$D55&amp;IF(ISBLANK(Input!$B56),"}"&amp;IF(ISBLANK(H$1),"",","),""))</f>
        <v>"current":"Aanalog actual",</v>
      </c>
    </row>
    <row r="56" spans="6:7" x14ac:dyDescent="0.3">
      <c r="F56" t="str">
        <f>IF(ISBLANK(Input!$B56),"",Input!$A56&amp;""""&amp;Input!$B56&amp;""":"&amp;Input!$C56&amp;Input!E56&amp;Input!$C56&amp;Input!$D56&amp;IF(ISBLANK(Input!$B57),"}"&amp;IF(ISBLANK(G$1),"",","),""))</f>
        <v>"light":"Light sensor"},</v>
      </c>
      <c r="G56" t="str">
        <f>IF(ISBLANK(Input!$B56),"",Input!$A56&amp;""""&amp;Input!$B56&amp;""":"&amp;Input!$C56&amp;Input!F56&amp;Input!$C56&amp;Input!$D56&amp;IF(ISBLANK(Input!$B57),"}"&amp;IF(ISBLANK(H$1),"",","),""))</f>
        <v>"light":"Sensor de luz"},</v>
      </c>
    </row>
    <row r="57" spans="6:7" x14ac:dyDescent="0.3">
      <c r="F57" t="str">
        <f>IF(ISBLANK(Input!$B57),"",Input!$A57&amp;""""&amp;Input!$B57&amp;""":"&amp;Input!$C57&amp;Input!E57&amp;Input!$C57&amp;Input!$D57&amp;IF(ISBLANK(Input!$B58),"}"&amp;IF(ISBLANK(G$1),"",","),""))</f>
        <v>"oTypeName":"Output type",</v>
      </c>
      <c r="G57" t="str">
        <f>IF(ISBLANK(Input!$B57),"",Input!$A57&amp;""""&amp;Input!$B57&amp;""":"&amp;Input!$C57&amp;Input!F57&amp;Input!$C57&amp;Input!$D57&amp;IF(ISBLANK(Input!$B58),"}"&amp;IF(ISBLANK(H$1),"",","),""))</f>
        <v>"oTypeName":"Tipo de salida",</v>
      </c>
    </row>
    <row r="58" spans="6:7" x14ac:dyDescent="0.3">
      <c r="F58" t="str">
        <f>IF(ISBLANK(Input!$B58),"",Input!$A58&amp;""""&amp;Input!$B58&amp;""":"&amp;Input!$C58&amp;Input!E58&amp;Input!$C58&amp;Input!$D58&amp;IF(ISBLANK(Input!$B59),"}"&amp;IF(ISBLANK(G$1),"",","),""))</f>
        <v>"oTypes":{</v>
      </c>
      <c r="G58" t="str">
        <f>IF(ISBLANK(Input!$B58),"",Input!$A58&amp;""""&amp;Input!$B58&amp;""":"&amp;Input!$C58&amp;Input!F58&amp;Input!$C58&amp;Input!$D58&amp;IF(ISBLANK(Input!$B59),"}"&amp;IF(ISBLANK(H$1),"",","),""))</f>
        <v>"oTypes":{</v>
      </c>
    </row>
    <row r="59" spans="6:7" x14ac:dyDescent="0.3">
      <c r="F59" t="str">
        <f>IF(ISBLANK(Input!$B59),"",Input!$A59&amp;""""&amp;Input!$B59&amp;""":"&amp;Input!$C59&amp;Input!E59&amp;Input!$C59&amp;Input!$D59&amp;IF(ISBLANK(Input!$B60),"}"&amp;IF(ISBLANK(G$1),"",","),""))</f>
        <v>"dc0":"Pulsed DC voltage out Ch00",</v>
      </c>
      <c r="G59" t="str">
        <f>IF(ISBLANK(Input!$B59),"",Input!$A59&amp;""""&amp;Input!$B59&amp;""":"&amp;Input!$C59&amp;Input!F59&amp;Input!$C59&amp;Input!$D59&amp;IF(ISBLANK(Input!$B60),"}"&amp;IF(ISBLANK(H$1),"",","),""))</f>
        <v>"dc0":"Saluda de tensión DC pulsada Ch00",</v>
      </c>
    </row>
    <row r="60" spans="6:7" x14ac:dyDescent="0.3">
      <c r="F60" t="str">
        <f>IF(ISBLANK(Input!$B60),"",Input!$A60&amp;""""&amp;Input!$B60&amp;""":"&amp;Input!$C60&amp;Input!E60&amp;Input!$C60&amp;Input!$D60&amp;IF(ISBLANK(Input!$B61),"}"&amp;IF(ISBLANK(G$1),"",","),""))</f>
        <v>"dc1":"Pulsed DC voltage out Ch01",</v>
      </c>
      <c r="G60" t="str">
        <f>IF(ISBLANK(Input!$B60),"",Input!$A60&amp;""""&amp;Input!$B60&amp;""":"&amp;Input!$C60&amp;Input!F60&amp;Input!$C60&amp;Input!$D60&amp;IF(ISBLANK(Input!$B61),"}"&amp;IF(ISBLANK(H$1),"",","),""))</f>
        <v>"dc1":"Saluda de tensión DC pulsada Ch01",</v>
      </c>
    </row>
    <row r="61" spans="6:7" x14ac:dyDescent="0.3">
      <c r="F61" t="str">
        <f>IF(ISBLANK(Input!$B61),"",Input!$A61&amp;""""&amp;Input!$B61&amp;""":"&amp;Input!$C61&amp;Input!E61&amp;Input!$C61&amp;Input!$D61&amp;IF(ISBLANK(Input!$B62),"}"&amp;IF(ISBLANK(G$1),"",","),""))</f>
        <v>"ac0":"Pulsed AC voltage out Ch00",</v>
      </c>
      <c r="G61" t="str">
        <f>IF(ISBLANK(Input!$B61),"",Input!$A61&amp;""""&amp;Input!$B61&amp;""":"&amp;Input!$C61&amp;Input!F61&amp;Input!$C61&amp;Input!$D61&amp;IF(ISBLANK(Input!$B62),"}"&amp;IF(ISBLANK(H$1),"",","),""))</f>
        <v>"ac0":"Saluda de tensión AC pulsada Ch00",</v>
      </c>
    </row>
    <row r="62" spans="6:7" x14ac:dyDescent="0.3">
      <c r="F62" t="str">
        <f>IF(ISBLANK(Input!$B62),"",Input!$A62&amp;""""&amp;Input!$B62&amp;""":"&amp;Input!$C62&amp;Input!E62&amp;Input!$C62&amp;Input!$D62&amp;IF(ISBLANK(Input!$B63),"}"&amp;IF(ISBLANK(G$1),"",","),""))</f>
        <v>"ac1":"Pulsed AC voltage out Ch01"}},</v>
      </c>
      <c r="G62" t="str">
        <f>IF(ISBLANK(Input!$B62),"",Input!$A62&amp;""""&amp;Input!$B62&amp;""":"&amp;Input!$C62&amp;Input!F62&amp;Input!$C62&amp;Input!$D62&amp;IF(ISBLANK(Input!$B63),"}"&amp;IF(ISBLANK(H$1),"",","),""))</f>
        <v>"ac1":"Saluda de tensión AC pulsada Ch01"}},</v>
      </c>
    </row>
    <row r="63" spans="6:7" x14ac:dyDescent="0.3">
      <c r="F63" t="str">
        <f>IF(ISBLANK(Input!$B63),"",Input!$A63&amp;""""&amp;Input!$B63&amp;""":"&amp;Input!$C63&amp;Input!E63&amp;Input!$C63&amp;Input!$D63&amp;IF(ISBLANK(Input!$B64),"}"&amp;IF(ISBLANK(G$1),"",","),""))</f>
        <v>"offset":"Offset",</v>
      </c>
      <c r="G63" t="str">
        <f>IF(ISBLANK(Input!$B63),"",Input!$A63&amp;""""&amp;Input!$B63&amp;""":"&amp;Input!$C63&amp;Input!F63&amp;Input!$C63&amp;Input!$D63&amp;IF(ISBLANK(Input!$B64),"}"&amp;IF(ISBLANK(H$1),"",","),""))</f>
        <v>"offset":"Offset",</v>
      </c>
    </row>
    <row r="64" spans="6:7" x14ac:dyDescent="0.3">
      <c r="F64" t="str">
        <f>IF(ISBLANK(Input!$B64),"",Input!$A64&amp;""""&amp;Input!$B64&amp;""":"&amp;Input!$C64&amp;Input!E64&amp;Input!$C64&amp;Input!$D64&amp;IF(ISBLANK(Input!$B65),"}"&amp;IF(ISBLANK(G$1),"",","),""))</f>
        <v>"gain":"Gain",</v>
      </c>
      <c r="G64" t="str">
        <f>IF(ISBLANK(Input!$B64),"",Input!$A64&amp;""""&amp;Input!$B64&amp;""":"&amp;Input!$C64&amp;Input!F64&amp;Input!$C64&amp;Input!$D64&amp;IF(ISBLANK(Input!$B65),"}"&amp;IF(ISBLANK(H$1),"",","),""))</f>
        <v>"gain":"Ganancia",</v>
      </c>
    </row>
    <row r="65" spans="6:7" x14ac:dyDescent="0.3">
      <c r="F65" t="str">
        <f>IF(ISBLANK(Input!$B65),"",Input!$A65&amp;""""&amp;Input!$B65&amp;""":"&amp;Input!$C65&amp;Input!E65&amp;Input!$C65&amp;Input!$D65&amp;IF(ISBLANK(Input!$B66),"}"&amp;IF(ISBLANK(G$1),"",","),""))</f>
        <v>"aSelection":"Algorithm selection",</v>
      </c>
      <c r="G65" t="str">
        <f>IF(ISBLANK(Input!$B65),"",Input!$A65&amp;""""&amp;Input!$B65&amp;""":"&amp;Input!$C65&amp;Input!F65&amp;Input!$C65&amp;Input!$D65&amp;IF(ISBLANK(Input!$B66),"}"&amp;IF(ISBLANK(H$1),"",","),""))</f>
        <v>"aSelection":"Selección de algoritmo",</v>
      </c>
    </row>
    <row r="66" spans="6:7" x14ac:dyDescent="0.3">
      <c r="F66" t="str">
        <f>IF(ISBLANK(Input!$B66),"",Input!$A66&amp;""""&amp;Input!$B66&amp;""":"&amp;Input!$C66&amp;Input!E66&amp;Input!$C66&amp;Input!$D66&amp;IF(ISBLANK(Input!$B67),"}"&amp;IF(ISBLANK(G$1),"",","),""))</f>
        <v>"noParams":"Parameters are unavailable for the selected algorithm.",</v>
      </c>
      <c r="G66" t="str">
        <f>IF(ISBLANK(Input!$B66),"",Input!$A66&amp;""""&amp;Input!$B66&amp;""":"&amp;Input!$C66&amp;Input!F66&amp;Input!$C66&amp;Input!$D66&amp;IF(ISBLANK(Input!$B67),"}"&amp;IF(ISBLANK(H$1),"",","),""))</f>
        <v>"noParams":"Los parámetros no están disponibles para el algoritmo seleccionado.",</v>
      </c>
    </row>
    <row r="67" spans="6:7" x14ac:dyDescent="0.3">
      <c r="F67" t="str">
        <f>IF(ISBLANK(Input!$B67),"",Input!$A67&amp;""""&amp;Input!$B67&amp;""":"&amp;Input!$C67&amp;Input!E67&amp;Input!$C67&amp;Input!$D67&amp;IF(ISBLANK(Input!$B68),"}"&amp;IF(ISBLANK(G$1),"",","),""))</f>
        <v>"fGens":{</v>
      </c>
      <c r="G67" t="str">
        <f>IF(ISBLANK(Input!$B67),"",Input!$A67&amp;""""&amp;Input!$B67&amp;""":"&amp;Input!$C67&amp;Input!F67&amp;Input!$C67&amp;Input!$D67&amp;IF(ISBLANK(Input!$B68),"}"&amp;IF(ISBLANK(H$1),"",","),""))</f>
        <v>"fGens":{</v>
      </c>
    </row>
    <row r="68" spans="6:7" x14ac:dyDescent="0.3">
      <c r="F68" t="str">
        <f>IF(ISBLANK(Input!$B68),"",Input!$A68&amp;""""&amp;Input!$B68&amp;""":"&amp;Input!$C68&amp;Input!E68&amp;Input!$C68&amp;Input!$D68&amp;IF(ISBLANK(Input!$B69),"}"&amp;IF(ISBLANK(G$1),"",","),""))</f>
        <v>"params":{</v>
      </c>
      <c r="G68" t="str">
        <f>IF(ISBLANK(Input!$B68),"",Input!$A68&amp;""""&amp;Input!$B68&amp;""":"&amp;Input!$C68&amp;Input!F68&amp;Input!$C68&amp;Input!$D68&amp;IF(ISBLANK(Input!$B69),"}"&amp;IF(ISBLANK(H$1),"",","),""))</f>
        <v>"params":{</v>
      </c>
    </row>
    <row r="69" spans="6:7" x14ac:dyDescent="0.3">
      <c r="F69" t="str">
        <f>IF(ISBLANK(Input!$B69),"",Input!$A69&amp;""""&amp;Input!$B69&amp;""":"&amp;Input!$C69&amp;Input!E69&amp;Input!$C69&amp;Input!$D69&amp;IF(ISBLANK(Input!$B70),"}"&amp;IF(ISBLANK(G$1),"",","),""))</f>
        <v>"amp":{</v>
      </c>
      <c r="G69" t="str">
        <f>IF(ISBLANK(Input!$B69),"",Input!$A69&amp;""""&amp;Input!$B69&amp;""":"&amp;Input!$C69&amp;Input!F69&amp;Input!$C69&amp;Input!$D69&amp;IF(ISBLANK(Input!$B70),"}"&amp;IF(ISBLANK(H$1),"",","),""))</f>
        <v>"amp":{</v>
      </c>
    </row>
    <row r="70" spans="6:7" x14ac:dyDescent="0.3">
      <c r="F70" t="str">
        <f>IF(ISBLANK(Input!$B70),"",Input!$A70&amp;""""&amp;Input!$B70&amp;""":"&amp;Input!$C70&amp;Input!E70&amp;Input!$C70&amp;Input!$D70&amp;IF(ISBLANK(Input!$B71),"}"&amp;IF(ISBLANK(G$1),"",","),""))</f>
        <v>"name":"Amplitude",</v>
      </c>
      <c r="G70" t="str">
        <f>IF(ISBLANK(Input!$B70),"",Input!$A70&amp;""""&amp;Input!$B70&amp;""":"&amp;Input!$C70&amp;Input!F70&amp;Input!$C70&amp;Input!$D70&amp;IF(ISBLANK(Input!$B71),"}"&amp;IF(ISBLANK(H$1),"",","),""))</f>
        <v>"name":"Amplitude",</v>
      </c>
    </row>
    <row r="71" spans="6:7" x14ac:dyDescent="0.3">
      <c r="F71" t="str">
        <f>IF(ISBLANK(Input!$B71),"",Input!$A71&amp;""""&amp;Input!$B71&amp;""":"&amp;Input!$C71&amp;Input!E71&amp;Input!$C71&amp;Input!$D71&amp;IF(ISBLANK(Input!$B72),"}"&amp;IF(ISBLANK(G$1),"",","),""))</f>
        <v>"dValue":1,</v>
      </c>
      <c r="G71" t="str">
        <f>IF(ISBLANK(Input!$B71),"",Input!$A71&amp;""""&amp;Input!$B71&amp;""":"&amp;Input!$C71&amp;Input!F71&amp;Input!$C71&amp;Input!$D71&amp;IF(ISBLANK(Input!$B72),"}"&amp;IF(ISBLANK(H$1),"",","),""))</f>
        <v>"dValue":1,</v>
      </c>
    </row>
    <row r="72" spans="6:7" x14ac:dyDescent="0.3">
      <c r="F72" t="str">
        <f>IF(ISBLANK(Input!$B72),"",Input!$A72&amp;""""&amp;Input!$B72&amp;""":"&amp;Input!$C72&amp;Input!E72&amp;Input!$C72&amp;Input!$D72&amp;IF(ISBLANK(Input!$B73),"}"&amp;IF(ISBLANK(G$1),"",","),""))</f>
        <v>"min":0,</v>
      </c>
      <c r="G72" t="str">
        <f>IF(ISBLANK(Input!$B72),"",Input!$A72&amp;""""&amp;Input!$B72&amp;""":"&amp;Input!$C72&amp;Input!F72&amp;Input!$C72&amp;Input!$D72&amp;IF(ISBLANK(Input!$B73),"}"&amp;IF(ISBLANK(H$1),"",","),""))</f>
        <v>"min":0,</v>
      </c>
    </row>
    <row r="73" spans="6:7" x14ac:dyDescent="0.3">
      <c r="F73" t="str">
        <f>IF(ISBLANK(Input!$B73),"",Input!$A73&amp;""""&amp;Input!$B73&amp;""":"&amp;Input!$C73&amp;Input!E73&amp;Input!$C73&amp;Input!$D73&amp;IF(ISBLANK(Input!$B74),"}"&amp;IF(ISBLANK(G$1),"",","),""))</f>
        <v>"max":Infinity},</v>
      </c>
      <c r="G73" t="str">
        <f>IF(ISBLANK(Input!$B73),"",Input!$A73&amp;""""&amp;Input!$B73&amp;""":"&amp;Input!$C73&amp;Input!F73&amp;Input!$C73&amp;Input!$D73&amp;IF(ISBLANK(Input!$B74),"}"&amp;IF(ISBLANK(H$1),"",","),""))</f>
        <v>"max":Infinity},</v>
      </c>
    </row>
    <row r="74" spans="6:7" x14ac:dyDescent="0.3">
      <c r="F74" t="str">
        <f>IF(ISBLANK(Input!$B74),"",Input!$A74&amp;""""&amp;Input!$B74&amp;""":"&amp;Input!$C74&amp;Input!E74&amp;Input!$C74&amp;Input!$D74&amp;IF(ISBLANK(Input!$B75),"}"&amp;IF(ISBLANK(G$1),"",","),""))</f>
        <v>"freq":{</v>
      </c>
      <c r="G74" t="str">
        <f>IF(ISBLANK(Input!$B74),"",Input!$A74&amp;""""&amp;Input!$B74&amp;""":"&amp;Input!$C74&amp;Input!F74&amp;Input!$C74&amp;Input!$D74&amp;IF(ISBLANK(Input!$B75),"}"&amp;IF(ISBLANK(H$1),"",","),""))</f>
        <v>"freq":{</v>
      </c>
    </row>
    <row r="75" spans="6:7" x14ac:dyDescent="0.3">
      <c r="F75" t="str">
        <f>IF(ISBLANK(Input!$B75),"",Input!$A75&amp;""""&amp;Input!$B75&amp;""":"&amp;Input!$C75&amp;Input!E75&amp;Input!$C75&amp;Input!$D75&amp;IF(ISBLANK(Input!$B76),"}"&amp;IF(ISBLANK(G$1),"",","),""))</f>
        <v>"name":"Frequency",</v>
      </c>
      <c r="G75" t="str">
        <f>IF(ISBLANK(Input!$B75),"",Input!$A75&amp;""""&amp;Input!$B75&amp;""":"&amp;Input!$C75&amp;Input!F75&amp;Input!$C75&amp;Input!$D75&amp;IF(ISBLANK(Input!$B76),"}"&amp;IF(ISBLANK(H$1),"",","),""))</f>
        <v>"name":"Frequency",</v>
      </c>
    </row>
    <row r="76" spans="6:7" x14ac:dyDescent="0.3">
      <c r="F76" t="str">
        <f>IF(ISBLANK(Input!$B76),"",Input!$A76&amp;""""&amp;Input!$B76&amp;""":"&amp;Input!$C76&amp;Input!E76&amp;Input!$C76&amp;Input!$D76&amp;IF(ISBLANK(Input!$B77),"}"&amp;IF(ISBLANK(G$1),"",","),""))</f>
        <v>"dValue":1,</v>
      </c>
      <c r="G76" t="str">
        <f>IF(ISBLANK(Input!$B76),"",Input!$A76&amp;""""&amp;Input!$B76&amp;""":"&amp;Input!$C76&amp;Input!F76&amp;Input!$C76&amp;Input!$D76&amp;IF(ISBLANK(Input!$B77),"}"&amp;IF(ISBLANK(H$1),"",","),""))</f>
        <v>"dValue":1,</v>
      </c>
    </row>
    <row r="77" spans="6:7" x14ac:dyDescent="0.3">
      <c r="F77" t="str">
        <f>IF(ISBLANK(Input!$B77),"",Input!$A77&amp;""""&amp;Input!$B77&amp;""":"&amp;Input!$C77&amp;Input!E77&amp;Input!$C77&amp;Input!$D77&amp;IF(ISBLANK(Input!$B78),"}"&amp;IF(ISBLANK(G$1),"",","),""))</f>
        <v>"min":0,</v>
      </c>
      <c r="G77" t="str">
        <f>IF(ISBLANK(Input!$B77),"",Input!$A77&amp;""""&amp;Input!$B77&amp;""":"&amp;Input!$C77&amp;Input!F77&amp;Input!$C77&amp;Input!$D77&amp;IF(ISBLANK(Input!$B78),"}"&amp;IF(ISBLANK(H$1),"",","),""))</f>
        <v>"min":0,</v>
      </c>
    </row>
    <row r="78" spans="6:7" x14ac:dyDescent="0.3">
      <c r="F78" t="str">
        <f>IF(ISBLANK(Input!$B78),"",Input!$A78&amp;""""&amp;Input!$B78&amp;""":"&amp;Input!$C78&amp;Input!E78&amp;Input!$C78&amp;Input!$D78&amp;IF(ISBLANK(Input!$B79),"}"&amp;IF(ISBLANK(G$1),"",","),""))</f>
        <v>"max":Infinity},</v>
      </c>
      <c r="G78" t="str">
        <f>IF(ISBLANK(Input!$B78),"",Input!$A78&amp;""""&amp;Input!$B78&amp;""":"&amp;Input!$C78&amp;Input!F78&amp;Input!$C78&amp;Input!$D78&amp;IF(ISBLANK(Input!$B79),"}"&amp;IF(ISBLANK(H$1),"",","),""))</f>
        <v>"max":Infinity},</v>
      </c>
    </row>
    <row r="79" spans="6:7" x14ac:dyDescent="0.3">
      <c r="F79" t="str">
        <f>IF(ISBLANK(Input!$B79),"",Input!$A79&amp;""""&amp;Input!$B79&amp;""":"&amp;Input!$C79&amp;Input!E79&amp;Input!$C79&amp;Input!$D79&amp;IF(ISBLANK(Input!$B80),"}"&amp;IF(ISBLANK(G$1),"",","),""))</f>
        <v>"duty":{</v>
      </c>
      <c r="G79" t="str">
        <f>IF(ISBLANK(Input!$B79),"",Input!$A79&amp;""""&amp;Input!$B79&amp;""":"&amp;Input!$C79&amp;Input!F79&amp;Input!$C79&amp;Input!$D79&amp;IF(ISBLANK(Input!$B80),"}"&amp;IF(ISBLANK(H$1),"",","),""))</f>
        <v>"duty":{</v>
      </c>
    </row>
    <row r="80" spans="6:7" x14ac:dyDescent="0.3">
      <c r="F80" t="str">
        <f>IF(ISBLANK(Input!$B80),"",Input!$A80&amp;""""&amp;Input!$B80&amp;""":"&amp;Input!$C80&amp;Input!E80&amp;Input!$C80&amp;Input!$D80&amp;IF(ISBLANK(Input!$B81),"}"&amp;IF(ISBLANK(G$1),"",","),""))</f>
        <v>"name":"Duty  cycle",</v>
      </c>
      <c r="G80" t="str">
        <f>IF(ISBLANK(Input!$B80),"",Input!$A80&amp;""""&amp;Input!$B80&amp;""":"&amp;Input!$C80&amp;Input!F80&amp;Input!$C80&amp;Input!$D80&amp;IF(ISBLANK(Input!$B81),"}"&amp;IF(ISBLANK(H$1),"",","),""))</f>
        <v>"name":"Duty  cycle",</v>
      </c>
    </row>
    <row r="81" spans="6:7" x14ac:dyDescent="0.3">
      <c r="F81" t="str">
        <f>IF(ISBLANK(Input!$B81),"",Input!$A81&amp;""""&amp;Input!$B81&amp;""":"&amp;Input!$C81&amp;Input!E81&amp;Input!$C81&amp;Input!$D81&amp;IF(ISBLANK(Input!$B82),"}"&amp;IF(ISBLANK(G$1),"",","),""))</f>
        <v>"dValue":50,</v>
      </c>
      <c r="G81" t="str">
        <f>IF(ISBLANK(Input!$B81),"",Input!$A81&amp;""""&amp;Input!$B81&amp;""":"&amp;Input!$C81&amp;Input!F81&amp;Input!$C81&amp;Input!$D81&amp;IF(ISBLANK(Input!$B82),"}"&amp;IF(ISBLANK(H$1),"",","),""))</f>
        <v>"dValue":50,</v>
      </c>
    </row>
    <row r="82" spans="6:7" x14ac:dyDescent="0.3">
      <c r="F82" t="str">
        <f>IF(ISBLANK(Input!$B82),"",Input!$A82&amp;""""&amp;Input!$B82&amp;""":"&amp;Input!$C82&amp;Input!E82&amp;Input!$C82&amp;Input!$D82&amp;IF(ISBLANK(Input!$B83),"}"&amp;IF(ISBLANK(G$1),"",","),""))</f>
        <v>"min":0,</v>
      </c>
      <c r="G82" t="str">
        <f>IF(ISBLANK(Input!$B82),"",Input!$A82&amp;""""&amp;Input!$B82&amp;""":"&amp;Input!$C82&amp;Input!F82&amp;Input!$C82&amp;Input!$D82&amp;IF(ISBLANK(Input!$B83),"}"&amp;IF(ISBLANK(H$1),"",","),""))</f>
        <v>"min":0,</v>
      </c>
    </row>
    <row r="83" spans="6:7" x14ac:dyDescent="0.3">
      <c r="F83" t="str">
        <f>IF(ISBLANK(Input!$B83),"",Input!$A83&amp;""""&amp;Input!$B83&amp;""":"&amp;Input!$C83&amp;Input!E83&amp;Input!$C83&amp;Input!$D83&amp;IF(ISBLANK(Input!$B84),"}"&amp;IF(ISBLANK(G$1),"",","),""))</f>
        <v>"max":100},</v>
      </c>
      <c r="G83" t="str">
        <f>IF(ISBLANK(Input!$B83),"",Input!$A83&amp;""""&amp;Input!$B83&amp;""":"&amp;Input!$C83&amp;Input!F83&amp;Input!$C83&amp;Input!$D83&amp;IF(ISBLANK(Input!$B84),"}"&amp;IF(ISBLANK(H$1),"",","),""))</f>
        <v>"max":100},</v>
      </c>
    </row>
    <row r="84" spans="6:7" x14ac:dyDescent="0.3">
      <c r="F84" t="str">
        <f>IF(ISBLANK(Input!$B84),"",Input!$A84&amp;""""&amp;Input!$B84&amp;""":"&amp;Input!$C84&amp;Input!E84&amp;Input!$C84&amp;Input!$D84&amp;IF(ISBLANK(Input!$B85),"}"&amp;IF(ISBLANK(G$1),"",","),""))</f>
        <v>"offset":{</v>
      </c>
      <c r="G84" t="str">
        <f>IF(ISBLANK(Input!$B84),"",Input!$A84&amp;""""&amp;Input!$B84&amp;""":"&amp;Input!$C84&amp;Input!F84&amp;Input!$C84&amp;Input!$D84&amp;IF(ISBLANK(Input!$B85),"}"&amp;IF(ISBLANK(H$1),"",","),""))</f>
        <v>"offset":{</v>
      </c>
    </row>
    <row r="85" spans="6:7" x14ac:dyDescent="0.3">
      <c r="F85" t="str">
        <f>IF(ISBLANK(Input!$B85),"",Input!$A85&amp;""""&amp;Input!$B85&amp;""":"&amp;Input!$C85&amp;Input!E85&amp;Input!$C85&amp;Input!$D85&amp;IF(ISBLANK(Input!$B86),"}"&amp;IF(ISBLANK(G$1),"",","),""))</f>
        <v>"name":"Offset",</v>
      </c>
      <c r="G85" t="str">
        <f>IF(ISBLANK(Input!$B85),"",Input!$A85&amp;""""&amp;Input!$B85&amp;""":"&amp;Input!$C85&amp;Input!F85&amp;Input!$C85&amp;Input!$D85&amp;IF(ISBLANK(Input!$B86),"}"&amp;IF(ISBLANK(H$1),"",","),""))</f>
        <v>"name":"Offset",</v>
      </c>
    </row>
    <row r="86" spans="6:7" x14ac:dyDescent="0.3">
      <c r="F86" t="str">
        <f>IF(ISBLANK(Input!$B86),"",Input!$A86&amp;""""&amp;Input!$B86&amp;""":"&amp;Input!$C86&amp;Input!E86&amp;Input!$C86&amp;Input!$D86&amp;IF(ISBLANK(Input!$B87),"}"&amp;IF(ISBLANK(G$1),"",","),""))</f>
        <v>"dValue":0,</v>
      </c>
      <c r="G86" t="str">
        <f>IF(ISBLANK(Input!$B86),"",Input!$A86&amp;""""&amp;Input!$B86&amp;""":"&amp;Input!$C86&amp;Input!F86&amp;Input!$C86&amp;Input!$D86&amp;IF(ISBLANK(Input!$B87),"}"&amp;IF(ISBLANK(H$1),"",","),""))</f>
        <v>"dValue":0,</v>
      </c>
    </row>
    <row r="87" spans="6:7" x14ac:dyDescent="0.3">
      <c r="F87" t="str">
        <f>IF(ISBLANK(Input!$B87),"",Input!$A87&amp;""""&amp;Input!$B87&amp;""":"&amp;Input!$C87&amp;Input!E87&amp;Input!$C87&amp;Input!$D87&amp;IF(ISBLANK(Input!$B88),"}"&amp;IF(ISBLANK(G$1),"",","),""))</f>
        <v>"min":-Infinity,</v>
      </c>
      <c r="G87" t="str">
        <f>IF(ISBLANK(Input!$B87),"",Input!$A87&amp;""""&amp;Input!$B87&amp;""":"&amp;Input!$C87&amp;Input!F87&amp;Input!$C87&amp;Input!$D87&amp;IF(ISBLANK(Input!$B88),"}"&amp;IF(ISBLANK(H$1),"",","),""))</f>
        <v>"min":-Infinity,</v>
      </c>
    </row>
    <row r="88" spans="6:7" x14ac:dyDescent="0.3">
      <c r="F88" t="str">
        <f>IF(ISBLANK(Input!$B88),"",Input!$A88&amp;""""&amp;Input!$B88&amp;""":"&amp;Input!$C88&amp;Input!E88&amp;Input!$C88&amp;Input!$D88&amp;IF(ISBLANK(Input!$B89),"}"&amp;IF(ISBLANK(G$1),"",","),""))</f>
        <v>"max":Infinity},</v>
      </c>
      <c r="G88" t="str">
        <f>IF(ISBLANK(Input!$B88),"",Input!$A88&amp;""""&amp;Input!$B88&amp;""":"&amp;Input!$C88&amp;Input!F88&amp;Input!$C88&amp;Input!$D88&amp;IF(ISBLANK(Input!$B89),"}"&amp;IF(ISBLANK(H$1),"",","),""))</f>
        <v>"max":Infinity},</v>
      </c>
    </row>
    <row r="89" spans="6:7" x14ac:dyDescent="0.3">
      <c r="F89" t="str">
        <f>IF(ISBLANK(Input!$B89),"",Input!$A89&amp;""""&amp;Input!$B89&amp;""":"&amp;Input!$C89&amp;Input!E89&amp;Input!$C89&amp;Input!$D89&amp;IF(ISBLANK(Input!$B90),"}"&amp;IF(ISBLANK(G$1),"",","),""))</f>
        <v>"start":{</v>
      </c>
      <c r="G89" t="str">
        <f>IF(ISBLANK(Input!$B89),"",Input!$A89&amp;""""&amp;Input!$B89&amp;""":"&amp;Input!$C89&amp;Input!F89&amp;Input!$C89&amp;Input!$D89&amp;IF(ISBLANK(Input!$B90),"}"&amp;IF(ISBLANK(H$1),"",","),""))</f>
        <v>"start":{</v>
      </c>
    </row>
    <row r="90" spans="6:7" x14ac:dyDescent="0.3">
      <c r="F90" t="str">
        <f>IF(ISBLANK(Input!$B90),"",Input!$A90&amp;""""&amp;Input!$B90&amp;""":"&amp;Input!$C90&amp;Input!E90&amp;Input!$C90&amp;Input!$D90&amp;IF(ISBLANK(Input!$B91),"}"&amp;IF(ISBLANK(G$1),"",","),""))</f>
        <v>"name":"Start at",</v>
      </c>
      <c r="G90" t="str">
        <f>IF(ISBLANK(Input!$B90),"",Input!$A90&amp;""""&amp;Input!$B90&amp;""":"&amp;Input!$C90&amp;Input!F90&amp;Input!$C90&amp;Input!$D90&amp;IF(ISBLANK(Input!$B91),"}"&amp;IF(ISBLANK(H$1),"",","),""))</f>
        <v>"name":"Start at",</v>
      </c>
    </row>
    <row r="91" spans="6:7" x14ac:dyDescent="0.3">
      <c r="F91" t="str">
        <f>IF(ISBLANK(Input!$B91),"",Input!$A91&amp;""""&amp;Input!$B91&amp;""":"&amp;Input!$C91&amp;Input!E91&amp;Input!$C91&amp;Input!$D91&amp;IF(ISBLANK(Input!$B92),"}"&amp;IF(ISBLANK(G$1),"",","),""))</f>
        <v>"dValue":0,</v>
      </c>
      <c r="G91" t="str">
        <f>IF(ISBLANK(Input!$B91),"",Input!$A91&amp;""""&amp;Input!$B91&amp;""":"&amp;Input!$C91&amp;Input!F91&amp;Input!$C91&amp;Input!$D91&amp;IF(ISBLANK(Input!$B92),"}"&amp;IF(ISBLANK(H$1),"",","),""))</f>
        <v>"dValue":0,</v>
      </c>
    </row>
    <row r="92" spans="6:7" x14ac:dyDescent="0.3">
      <c r="F92" t="str">
        <f>IF(ISBLANK(Input!$B92),"",Input!$A92&amp;""""&amp;Input!$B92&amp;""":"&amp;Input!$C92&amp;Input!E92&amp;Input!$C92&amp;Input!$D92&amp;IF(ISBLANK(Input!$B93),"}"&amp;IF(ISBLANK(G$1),"",","),""))</f>
        <v>"min":0,</v>
      </c>
      <c r="G92" t="str">
        <f>IF(ISBLANK(Input!$B92),"",Input!$A92&amp;""""&amp;Input!$B92&amp;""":"&amp;Input!$C92&amp;Input!F92&amp;Input!$C92&amp;Input!$D92&amp;IF(ISBLANK(Input!$B93),"}"&amp;IF(ISBLANK(H$1),"",","),""))</f>
        <v>"min":0,</v>
      </c>
    </row>
    <row r="93" spans="6:7" x14ac:dyDescent="0.3">
      <c r="F93" t="str">
        <f>IF(ISBLANK(Input!$B93),"",Input!$A93&amp;""""&amp;Input!$B93&amp;""":"&amp;Input!$C93&amp;Input!E93&amp;Input!$C93&amp;Input!$D93&amp;IF(ISBLANK(Input!$B94),"}"&amp;IF(ISBLANK(G$1),"",","),""))</f>
        <v>"max":Infinity}},</v>
      </c>
      <c r="G93" t="str">
        <f>IF(ISBLANK(Input!$B93),"",Input!$A93&amp;""""&amp;Input!$B93&amp;""":"&amp;Input!$C93&amp;Input!F93&amp;Input!$C93&amp;Input!$D93&amp;IF(ISBLANK(Input!$B94),"}"&amp;IF(ISBLANK(H$1),"",","),""))</f>
        <v>"max":Infinity}},</v>
      </c>
    </row>
    <row r="94" spans="6:7" x14ac:dyDescent="0.3">
      <c r="F94" t="str">
        <f>IF(ISBLANK(Input!$B94),"",Input!$A94&amp;""""&amp;Input!$B94&amp;""":"&amp;Input!$C94&amp;Input!E94&amp;Input!$C94&amp;Input!$D94&amp;IF(ISBLANK(Input!$B95),"}"&amp;IF(ISBLANK(G$1),"",","),""))</f>
        <v>"iSignal":"Invert signal",</v>
      </c>
      <c r="G94" t="str">
        <f>IF(ISBLANK(Input!$B94),"",Input!$A94&amp;""""&amp;Input!$B94&amp;""":"&amp;Input!$C94&amp;Input!F94&amp;Input!$C94&amp;Input!$D94&amp;IF(ISBLANK(Input!$B95),"}"&amp;IF(ISBLANK(H$1),"",","),""))</f>
        <v>"iSignal":"Invert signal",</v>
      </c>
    </row>
    <row r="95" spans="6:7" x14ac:dyDescent="0.3">
      <c r="F95" t="str">
        <f>IF(ISBLANK(Input!$B95),"",Input!$A95&amp;""""&amp;Input!$B95&amp;""":"&amp;Input!$C95&amp;Input!E95&amp;Input!$C95&amp;Input!$D95&amp;IF(ISBLANK(Input!$B96),"}"&amp;IF(ISBLANK(G$1),"",","),""))</f>
        <v>"sTypes":{</v>
      </c>
      <c r="G95" t="str">
        <f>IF(ISBLANK(Input!$B95),"",Input!$A95&amp;""""&amp;Input!$B95&amp;""":"&amp;Input!$C95&amp;Input!F95&amp;Input!$C95&amp;Input!$D95&amp;IF(ISBLANK(Input!$B96),"}"&amp;IF(ISBLANK(H$1),"",","),""))</f>
        <v>"sTypes":{</v>
      </c>
    </row>
    <row r="96" spans="6:7" x14ac:dyDescent="0.3">
      <c r="F96" t="str">
        <f>IF(ISBLANK(Input!$B96),"",Input!$A96&amp;""""&amp;Input!$B96&amp;""":"&amp;Input!$C96&amp;Input!E96&amp;Input!$C96&amp;Input!$D96&amp;IF(ISBLANK(Input!$B97),"}"&amp;IF(ISBLANK(G$1),"",","),""))</f>
        <v>"step":{</v>
      </c>
      <c r="G96" t="str">
        <f>IF(ISBLANK(Input!$B96),"",Input!$A96&amp;""""&amp;Input!$B96&amp;""":"&amp;Input!$C96&amp;Input!F96&amp;Input!$C96&amp;Input!$D96&amp;IF(ISBLANK(Input!$B97),"}"&amp;IF(ISBLANK(H$1),"",","),""))</f>
        <v>"step":{</v>
      </c>
    </row>
    <row r="97" spans="6:7" x14ac:dyDescent="0.3">
      <c r="F97" t="str">
        <f>IF(ISBLANK(Input!$B97),"",Input!$A97&amp;""""&amp;Input!$B97&amp;""":"&amp;Input!$C97&amp;Input!E97&amp;Input!$C97&amp;Input!$D97&amp;IF(ISBLANK(Input!$B98),"}"&amp;IF(ISBLANK(G$1),"",","),""))</f>
        <v>"name":"Step function",</v>
      </c>
      <c r="G97" t="str">
        <f>IF(ISBLANK(Input!$B97),"",Input!$A97&amp;""""&amp;Input!$B97&amp;""":"&amp;Input!$C97&amp;Input!F97&amp;Input!$C97&amp;Input!$D97&amp;IF(ISBLANK(Input!$B98),"}"&amp;IF(ISBLANK(H$1),"",","),""))</f>
        <v>"name":"Step function",</v>
      </c>
    </row>
    <row r="98" spans="6:7" x14ac:dyDescent="0.3">
      <c r="F98" t="str">
        <f>IF(ISBLANK(Input!$B98),"",Input!$A98&amp;""""&amp;Input!$B98&amp;""":"&amp;Input!$C98&amp;Input!E98&amp;Input!$C98&amp;Input!$D98&amp;IF(ISBLANK(Input!$B99),"}"&amp;IF(ISBLANK(G$1),"",","),""))</f>
        <v>"params":['amp']},</v>
      </c>
      <c r="G98" t="str">
        <f>IF(ISBLANK(Input!$B98),"",Input!$A98&amp;""""&amp;Input!$B98&amp;""":"&amp;Input!$C98&amp;Input!F98&amp;Input!$C98&amp;Input!$D98&amp;IF(ISBLANK(Input!$B99),"}"&amp;IF(ISBLANK(H$1),"",","),""))</f>
        <v>"params":['amp']},</v>
      </c>
    </row>
    <row r="99" spans="6:7" x14ac:dyDescent="0.3">
      <c r="F99" t="str">
        <f>IF(ISBLANK(Input!$B99),"",Input!$A99&amp;""""&amp;Input!$B99&amp;""":"&amp;Input!$C99&amp;Input!E99&amp;Input!$C99&amp;Input!$D99&amp;IF(ISBLANK(Input!$B100),"}"&amp;IF(ISBLANK(G$1),"",","),""))</f>
        <v>"sine":{</v>
      </c>
      <c r="G99" t="str">
        <f>IF(ISBLANK(Input!$B99),"",Input!$A99&amp;""""&amp;Input!$B99&amp;""":"&amp;Input!$C99&amp;Input!F99&amp;Input!$C99&amp;Input!$D99&amp;IF(ISBLANK(Input!$B100),"}"&amp;IF(ISBLANK(H$1),"",","),""))</f>
        <v>"sine":{</v>
      </c>
    </row>
    <row r="100" spans="6:7" x14ac:dyDescent="0.3">
      <c r="F100" t="str">
        <f>IF(ISBLANK(Input!$B100),"",Input!$A100&amp;""""&amp;Input!$B100&amp;""":"&amp;Input!$C100&amp;Input!E100&amp;Input!$C100&amp;Input!$D100&amp;IF(ISBLANK(Input!$B101),"}"&amp;IF(ISBLANK(G$1),"",","),""))</f>
        <v>"name":"Sine wave",</v>
      </c>
      <c r="G100" t="str">
        <f>IF(ISBLANK(Input!$B100),"",Input!$A100&amp;""""&amp;Input!$B100&amp;""":"&amp;Input!$C100&amp;Input!F100&amp;Input!$C100&amp;Input!$D100&amp;IF(ISBLANK(Input!$B101),"}"&amp;IF(ISBLANK(H$1),"",","),""))</f>
        <v>"name":"Sine wave",</v>
      </c>
    </row>
    <row r="101" spans="6:7" x14ac:dyDescent="0.3">
      <c r="F101" t="str">
        <f>IF(ISBLANK(Input!$B101),"",Input!$A101&amp;""""&amp;Input!$B101&amp;""":"&amp;Input!$C101&amp;Input!E101&amp;Input!$C101&amp;Input!$D101&amp;IF(ISBLANK(Input!$B102),"}"&amp;IF(ISBLANK(G$1),"",","),""))</f>
        <v>"params":['amp', 'freq']},</v>
      </c>
      <c r="G101" t="str">
        <f>IF(ISBLANK(Input!$B101),"",Input!$A101&amp;""""&amp;Input!$B101&amp;""":"&amp;Input!$C101&amp;Input!F101&amp;Input!$C101&amp;Input!$D101&amp;IF(ISBLANK(Input!$B102),"}"&amp;IF(ISBLANK(H$1),"",","),""))</f>
        <v>"params":['amp', 'freq']},</v>
      </c>
    </row>
    <row r="102" spans="6:7" x14ac:dyDescent="0.3">
      <c r="F102" t="str">
        <f>IF(ISBLANK(Input!$B102),"",Input!$A102&amp;""""&amp;Input!$B102&amp;""":"&amp;Input!$C102&amp;Input!E102&amp;Input!$C102&amp;Input!$D102&amp;IF(ISBLANK(Input!$B103),"}"&amp;IF(ISBLANK(G$1),"",","),""))</f>
        <v>"triangle":{</v>
      </c>
      <c r="G102" t="str">
        <f>IF(ISBLANK(Input!$B102),"",Input!$A102&amp;""""&amp;Input!$B102&amp;""":"&amp;Input!$C102&amp;Input!F102&amp;Input!$C102&amp;Input!$D102&amp;IF(ISBLANK(Input!$B103),"}"&amp;IF(ISBLANK(H$1),"",","),""))</f>
        <v>"triangle":{</v>
      </c>
    </row>
    <row r="103" spans="6:7" x14ac:dyDescent="0.3">
      <c r="F103" t="str">
        <f>IF(ISBLANK(Input!$B103),"",Input!$A103&amp;""""&amp;Input!$B103&amp;""":"&amp;Input!$C103&amp;Input!E103&amp;Input!$C103&amp;Input!$D103&amp;IF(ISBLANK(Input!$B104),"}"&amp;IF(ISBLANK(G$1),"",","),""))</f>
        <v>"name":"Triangular wave",</v>
      </c>
      <c r="G103" t="str">
        <f>IF(ISBLANK(Input!$B103),"",Input!$A103&amp;""""&amp;Input!$B103&amp;""":"&amp;Input!$C103&amp;Input!F103&amp;Input!$C103&amp;Input!$D103&amp;IF(ISBLANK(Input!$B104),"}"&amp;IF(ISBLANK(H$1),"",","),""))</f>
        <v>"name":"Triangular wave",</v>
      </c>
    </row>
    <row r="104" spans="6:7" x14ac:dyDescent="0.3">
      <c r="F104" t="str">
        <f>IF(ISBLANK(Input!$B104),"",Input!$A104&amp;""""&amp;Input!$B104&amp;""":"&amp;Input!$C104&amp;Input!E104&amp;Input!$C104&amp;Input!$D104&amp;IF(ISBLANK(Input!$B105),"}"&amp;IF(ISBLANK(G$1),"",","),""))</f>
        <v>"params":['amp', 'freq']},</v>
      </c>
      <c r="G104" t="str">
        <f>IF(ISBLANK(Input!$B104),"",Input!$A104&amp;""""&amp;Input!$B104&amp;""":"&amp;Input!$C104&amp;Input!F104&amp;Input!$C104&amp;Input!$D104&amp;IF(ISBLANK(Input!$B105),"}"&amp;IF(ISBLANK(H$1),"",","),""))</f>
        <v>"params":['amp', 'freq']},</v>
      </c>
    </row>
    <row r="105" spans="6:7" x14ac:dyDescent="0.3">
      <c r="F105" t="str">
        <f>IF(ISBLANK(Input!$B105),"",Input!$A105&amp;""""&amp;Input!$B105&amp;""":"&amp;Input!$C105&amp;Input!E105&amp;Input!$C105&amp;Input!$D105&amp;IF(ISBLANK(Input!$B106),"}"&amp;IF(ISBLANK(G$1),"",","),""))</f>
        <v>"sawtooth":{</v>
      </c>
      <c r="G105" t="str">
        <f>IF(ISBLANK(Input!$B105),"",Input!$A105&amp;""""&amp;Input!$B105&amp;""":"&amp;Input!$C105&amp;Input!F105&amp;Input!$C105&amp;Input!$D105&amp;IF(ISBLANK(Input!$B106),"}"&amp;IF(ISBLANK(H$1),"",","),""))</f>
        <v>"sawtooth":{</v>
      </c>
    </row>
    <row r="106" spans="6:7" x14ac:dyDescent="0.3">
      <c r="F106" t="str">
        <f>IF(ISBLANK(Input!$B106),"",Input!$A106&amp;""""&amp;Input!$B106&amp;""":"&amp;Input!$C106&amp;Input!E106&amp;Input!$C106&amp;Input!$D106&amp;IF(ISBLANK(Input!$B107),"}"&amp;IF(ISBLANK(G$1),"",","),""))</f>
        <v>"name":"Sawtooth wave",</v>
      </c>
      <c r="G106" t="str">
        <f>IF(ISBLANK(Input!$B106),"",Input!$A106&amp;""""&amp;Input!$B106&amp;""":"&amp;Input!$C106&amp;Input!F106&amp;Input!$C106&amp;Input!$D106&amp;IF(ISBLANK(Input!$B107),"}"&amp;IF(ISBLANK(H$1),"",","),""))</f>
        <v>"name":"Sawtooth wave",</v>
      </c>
    </row>
    <row r="107" spans="6:7" x14ac:dyDescent="0.3">
      <c r="F107" t="str">
        <f>IF(ISBLANK(Input!$B107),"",Input!$A107&amp;""""&amp;Input!$B107&amp;""":"&amp;Input!$C107&amp;Input!E107&amp;Input!$C107&amp;Input!$D107&amp;IF(ISBLANK(Input!$B108),"}"&amp;IF(ISBLANK(G$1),"",","),""))</f>
        <v>"params":['amp', 'freq']},</v>
      </c>
      <c r="G107" t="str">
        <f>IF(ISBLANK(Input!$B107),"",Input!$A107&amp;""""&amp;Input!$B107&amp;""":"&amp;Input!$C107&amp;Input!F107&amp;Input!$C107&amp;Input!$D107&amp;IF(ISBLANK(Input!$B108),"}"&amp;IF(ISBLANK(H$1),"",","),""))</f>
        <v>"params":['amp', 'freq']},</v>
      </c>
    </row>
    <row r="108" spans="6:7" x14ac:dyDescent="0.3">
      <c r="F108" t="str">
        <f>IF(ISBLANK(Input!$B108),"",Input!$A108&amp;""""&amp;Input!$B108&amp;""":"&amp;Input!$C108&amp;Input!E108&amp;Input!$C108&amp;Input!$D108&amp;IF(ISBLANK(Input!$B109),"}"&amp;IF(ISBLANK(G$1),"",","),""))</f>
        <v>"rect":{</v>
      </c>
      <c r="G108" t="str">
        <f>IF(ISBLANK(Input!$B108),"",Input!$A108&amp;""""&amp;Input!$B108&amp;""":"&amp;Input!$C108&amp;Input!F108&amp;Input!$C108&amp;Input!$D108&amp;IF(ISBLANK(Input!$B109),"}"&amp;IF(ISBLANK(H$1),"",","),""))</f>
        <v>"rect":{</v>
      </c>
    </row>
    <row r="109" spans="6:7" x14ac:dyDescent="0.3">
      <c r="F109" t="str">
        <f>IF(ISBLANK(Input!$B109),"",Input!$A109&amp;""""&amp;Input!$B109&amp;""":"&amp;Input!$C109&amp;Input!E109&amp;Input!$C109&amp;Input!$D109&amp;IF(ISBLANK(Input!$B110),"}"&amp;IF(ISBLANK(G$1),"",","),""))</f>
        <v>"name":"Rectangular wave",</v>
      </c>
      <c r="G109" t="str">
        <f>IF(ISBLANK(Input!$B109),"",Input!$A109&amp;""""&amp;Input!$B109&amp;""":"&amp;Input!$C109&amp;Input!F109&amp;Input!$C109&amp;Input!$D109&amp;IF(ISBLANK(Input!$B110),"}"&amp;IF(ISBLANK(H$1),"",","),""))</f>
        <v>"name":"Rectangular wave",</v>
      </c>
    </row>
    <row r="110" spans="6:7" x14ac:dyDescent="0.3">
      <c r="F110" t="str">
        <f>IF(ISBLANK(Input!$B110),"",Input!$A110&amp;""""&amp;Input!$B110&amp;""":"&amp;Input!$C110&amp;Input!E110&amp;Input!$C110&amp;Input!$D110&amp;IF(ISBLANK(Input!$B111),"}"&amp;IF(ISBLANK(G$1),"",","),""))</f>
        <v>"params":['amp', 'freq','duty']}}}},</v>
      </c>
      <c r="G110" t="str">
        <f>IF(ISBLANK(Input!$B110),"",Input!$A110&amp;""""&amp;Input!$B110&amp;""":"&amp;Input!$C110&amp;Input!F110&amp;Input!$C110&amp;Input!$D110&amp;IF(ISBLANK(Input!$B111),"}"&amp;IF(ISBLANK(H$1),"",","),""))</f>
        <v>"params":['amp', 'freq','duty']}}}}</v>
      </c>
    </row>
    <row r="111" spans="6:7" x14ac:dyDescent="0.3">
      <c r="F111" t="str">
        <f>IF(ISBLANK(Input!$B111),"",Input!$A111&amp;""""&amp;Input!$B111&amp;""":"&amp;Input!$C111&amp;Input!E111&amp;Input!$C111&amp;Input!$D111&amp;IF(ISBLANK(Input!$B112),"}"&amp;IF(ISBLANK(G$1),"",","),""))</f>
        <v/>
      </c>
      <c r="G111" t="str">
        <f>IF(ISBLANK(Input!$B111),"",Input!$A111&amp;""""&amp;Input!$B111&amp;""":"&amp;Input!$C111&amp;Input!F111&amp;Input!$C111&amp;Input!$D111&amp;IF(ISBLANK(Input!$B112),"}"&amp;IF(ISBLANK(H$1),"",","),""))</f>
        <v/>
      </c>
    </row>
    <row r="112" spans="6:7" x14ac:dyDescent="0.3">
      <c r="F112" t="str">
        <f>IF(ISBLANK(Input!$B112),"",Input!$A112&amp;""""&amp;Input!$B112&amp;""":"&amp;Input!$C112&amp;Input!E112&amp;Input!$C112&amp;Input!$D112&amp;IF(ISBLANK(Input!$B113),"}"&amp;IF(ISBLANK(G$1),"",","),""))</f>
        <v/>
      </c>
      <c r="G112" t="str">
        <f>IF(ISBLANK(Input!$B112),"",Input!$A112&amp;""""&amp;Input!$B112&amp;""":"&amp;Input!$C112&amp;Input!F112&amp;Input!$C112&amp;Input!$D112&amp;IF(ISBLANK(Input!$B113),"}"&amp;IF(ISBLANK(H$1),"",","),""))</f>
        <v/>
      </c>
    </row>
    <row r="113" spans="6:7" x14ac:dyDescent="0.3">
      <c r="F113" t="str">
        <f>IF(ISBLANK(Input!$B113),"",Input!$A113&amp;""""&amp;Input!$B113&amp;""":"&amp;Input!$C113&amp;Input!E113&amp;Input!$C113&amp;Input!$D113&amp;IF(ISBLANK(Input!$B114),"}"&amp;IF(ISBLANK(G$1),"",","),""))</f>
        <v/>
      </c>
      <c r="G113" t="str">
        <f>IF(ISBLANK(Input!$B113),"",Input!$A113&amp;""""&amp;Input!$B113&amp;""":"&amp;Input!$C113&amp;Input!F113&amp;Input!$C113&amp;Input!$D113&amp;IF(ISBLANK(Input!$B114),"}"&amp;IF(ISBLANK(H$1),"",","),""))</f>
        <v/>
      </c>
    </row>
    <row r="114" spans="6:7" x14ac:dyDescent="0.3">
      <c r="F114" t="str">
        <f>IF(ISBLANK(Input!$B114),"",Input!$A114&amp;""""&amp;Input!$B114&amp;""":"&amp;Input!$C114&amp;Input!E114&amp;Input!$C114&amp;Input!$D114&amp;IF(ISBLANK(Input!$B115),"}"&amp;IF(ISBLANK(G$1),"",","),""))</f>
        <v/>
      </c>
      <c r="G114" t="str">
        <f>IF(ISBLANK(Input!$B114),"",Input!$A114&amp;""""&amp;Input!$B114&amp;""":"&amp;Input!$C114&amp;Input!F114&amp;Input!$C114&amp;Input!$D114&amp;IF(ISBLANK(Input!$B115),"}"&amp;IF(ISBLANK(H$1),"",","),""))</f>
        <v/>
      </c>
    </row>
    <row r="115" spans="6:7" x14ac:dyDescent="0.3">
      <c r="F115" t="str">
        <f>IF(ISBLANK(Input!$B115),"",Input!$A115&amp;""""&amp;Input!$B115&amp;""":"&amp;Input!$C115&amp;Input!E115&amp;Input!$C115&amp;Input!$D115&amp;IF(ISBLANK(Input!$B116),"}"&amp;IF(ISBLANK(G$1),"",","),""))</f>
        <v/>
      </c>
      <c r="G115" t="str">
        <f>IF(ISBLANK(Input!$B115),"",Input!$A115&amp;""""&amp;Input!$B115&amp;""":"&amp;Input!$C115&amp;Input!F115&amp;Input!$C115&amp;Input!$D115&amp;IF(ISBLANK(Input!$B116),"}"&amp;IF(ISBLANK(H$1),"",","),""))</f>
        <v/>
      </c>
    </row>
    <row r="116" spans="6:7" x14ac:dyDescent="0.3">
      <c r="F116" t="str">
        <f>IF(ISBLANK(Input!$B116),"",Input!$A116&amp;""""&amp;Input!$B116&amp;""":"&amp;Input!$C116&amp;Input!E116&amp;Input!$C116&amp;Input!$D116&amp;IF(ISBLANK(Input!$B117),"}"&amp;IF(ISBLANK(G$1),"",","),""))</f>
        <v/>
      </c>
      <c r="G116" t="str">
        <f>IF(ISBLANK(Input!$B116),"",Input!$A116&amp;""""&amp;Input!$B116&amp;""":"&amp;Input!$C116&amp;Input!F116&amp;Input!$C116&amp;Input!$D116&amp;IF(ISBLANK(Input!$B117),"}"&amp;IF(ISBLANK(H$1),"",","),""))</f>
        <v/>
      </c>
    </row>
    <row r="117" spans="6:7" x14ac:dyDescent="0.3">
      <c r="F117" t="str">
        <f>IF(ISBLANK(Input!$B117),"",Input!$A117&amp;""""&amp;Input!$B117&amp;""":"&amp;Input!$C117&amp;Input!E117&amp;Input!$C117&amp;Input!$D117&amp;IF(ISBLANK(Input!$B118),"}"&amp;IF(ISBLANK(G$1),"",","),""))</f>
        <v/>
      </c>
      <c r="G117" t="str">
        <f>IF(ISBLANK(Input!$B117),"",Input!$A117&amp;""""&amp;Input!$B117&amp;""":"&amp;Input!$C117&amp;Input!F117&amp;Input!$C117&amp;Input!$D117&amp;IF(ISBLANK(Input!$B118),"}"&amp;IF(ISBLANK(H$1),"",","),""))</f>
        <v/>
      </c>
    </row>
    <row r="118" spans="6:7" x14ac:dyDescent="0.3">
      <c r="F118" t="str">
        <f>IF(ISBLANK(Input!$B118),"",Input!$A118&amp;""""&amp;Input!$B118&amp;""":"&amp;Input!$C118&amp;Input!E118&amp;Input!$C118&amp;Input!$D118&amp;IF(ISBLANK(Input!$B119),"}"&amp;IF(ISBLANK(G$1),"",","),""))</f>
        <v/>
      </c>
      <c r="G118" t="str">
        <f>IF(ISBLANK(Input!$B118),"",Input!$A118&amp;""""&amp;Input!$B118&amp;""":"&amp;Input!$C118&amp;Input!F118&amp;Input!$C118&amp;Input!$D118&amp;IF(ISBLANK(Input!$B119),"}"&amp;IF(ISBLANK(H$1),"",","),""))</f>
        <v/>
      </c>
    </row>
    <row r="119" spans="6:7" x14ac:dyDescent="0.3">
      <c r="F119" t="str">
        <f>IF(ISBLANK(Input!$B119),"",Input!$A119&amp;""""&amp;Input!$B119&amp;""":"&amp;Input!$C119&amp;Input!E119&amp;Input!$C119&amp;Input!$D119&amp;IF(ISBLANK(Input!$B120),"}"&amp;IF(ISBLANK(G$1),"",","),""))</f>
        <v/>
      </c>
      <c r="G119" t="str">
        <f>IF(ISBLANK(Input!$B119),"",Input!$A119&amp;""""&amp;Input!$B119&amp;""":"&amp;Input!$C119&amp;Input!F119&amp;Input!$C119&amp;Input!$D119&amp;IF(ISBLANK(Input!$B120),"}"&amp;IF(ISBLANK(H$1),"",","),""))</f>
        <v/>
      </c>
    </row>
    <row r="120" spans="6:7" x14ac:dyDescent="0.3">
      <c r="F120" t="str">
        <f>IF(ISBLANK(Input!$B120),"",Input!$A120&amp;""""&amp;Input!$B120&amp;""":"&amp;Input!$C120&amp;Input!E120&amp;Input!$C120&amp;Input!$D120&amp;IF(ISBLANK(Input!$B121),"}"&amp;IF(ISBLANK(G$1),"",","),""))</f>
        <v/>
      </c>
      <c r="G120" t="str">
        <f>IF(ISBLANK(Input!$B120),"",Input!$A120&amp;""""&amp;Input!$B120&amp;""":"&amp;Input!$C120&amp;Input!F120&amp;Input!$C120&amp;Input!$D120&amp;IF(ISBLANK(Input!$B121),"}"&amp;IF(ISBLANK(H$1),"",","),""))</f>
        <v/>
      </c>
    </row>
    <row r="121" spans="6:7" x14ac:dyDescent="0.3">
      <c r="F121" t="str">
        <f>IF(ISBLANK(Input!$B121),"",Input!$A121&amp;""""&amp;Input!$B121&amp;""":"&amp;Input!$C121&amp;Input!E121&amp;Input!$C121&amp;Input!$D121&amp;IF(ISBLANK(Input!$B122),"}"&amp;IF(ISBLANK(G$1),"",","),""))</f>
        <v/>
      </c>
      <c r="G121" t="str">
        <f>IF(ISBLANK(Input!$B121),"",Input!$A121&amp;""""&amp;Input!$B121&amp;""":"&amp;Input!$C121&amp;Input!F121&amp;Input!$C121&amp;Input!$D121&amp;IF(ISBLANK(Input!$B122),"}"&amp;IF(ISBLANK(H$1),"",","),""))</f>
        <v/>
      </c>
    </row>
    <row r="122" spans="6:7" x14ac:dyDescent="0.3">
      <c r="F122" t="str">
        <f>IF(ISBLANK(Input!$B122),"",Input!$A122&amp;""""&amp;Input!$B122&amp;""":"&amp;Input!$C122&amp;Input!E122&amp;Input!$C122&amp;Input!$D122&amp;IF(ISBLANK(Input!$B123),"}"&amp;IF(ISBLANK(G$1),"",","),""))</f>
        <v/>
      </c>
      <c r="G122" t="str">
        <f>IF(ISBLANK(Input!$B122),"",Input!$A122&amp;""""&amp;Input!$B122&amp;""":"&amp;Input!$C122&amp;Input!F122&amp;Input!$C122&amp;Input!$D122&amp;IF(ISBLANK(Input!$B123),"}"&amp;IF(ISBLANK(H$1),"",","),""))</f>
        <v/>
      </c>
    </row>
    <row r="123" spans="6:7" x14ac:dyDescent="0.3">
      <c r="F123" t="str">
        <f>IF(ISBLANK(Input!$B123),"",Input!$A123&amp;""""&amp;Input!$B123&amp;""":"&amp;Input!$C123&amp;Input!E123&amp;Input!$C123&amp;Input!$D123&amp;IF(ISBLANK(Input!$B124),"}"&amp;IF(ISBLANK(G$1),"",","),""))</f>
        <v/>
      </c>
      <c r="G123" t="str">
        <f>IF(ISBLANK(Input!$B123),"",Input!$A123&amp;""""&amp;Input!$B123&amp;""":"&amp;Input!$C123&amp;Input!F123&amp;Input!$C123&amp;Input!$D123&amp;IF(ISBLANK(Input!$B124),"}"&amp;IF(ISBLANK(H$1),"",","),""))</f>
        <v/>
      </c>
    </row>
    <row r="124" spans="6:7" x14ac:dyDescent="0.3">
      <c r="F124" t="str">
        <f>IF(ISBLANK(Input!$B124),"",Input!$A124&amp;""""&amp;Input!$B124&amp;""":"&amp;Input!$C124&amp;Input!E124&amp;Input!$C124&amp;Input!$D124&amp;IF(ISBLANK(Input!$B125),"}"&amp;IF(ISBLANK(G$1),"",","),""))</f>
        <v/>
      </c>
      <c r="G124" t="str">
        <f>IF(ISBLANK(Input!$B124),"",Input!$A124&amp;""""&amp;Input!$B124&amp;""":"&amp;Input!$C124&amp;Input!F124&amp;Input!$C124&amp;Input!$D124&amp;IF(ISBLANK(Input!$B125),"}"&amp;IF(ISBLANK(H$1),"",","),""))</f>
        <v/>
      </c>
    </row>
    <row r="125" spans="6:7" x14ac:dyDescent="0.3">
      <c r="F125" t="str">
        <f>IF(ISBLANK(Input!$B125),"",Input!$A125&amp;""""&amp;Input!$B125&amp;""":"&amp;Input!$C125&amp;Input!E125&amp;Input!$C125&amp;Input!$D125&amp;IF(ISBLANK(Input!$B126),"}"&amp;IF(ISBLANK(G$1),"",","),""))</f>
        <v/>
      </c>
      <c r="G125" t="str">
        <f>IF(ISBLANK(Input!$B125),"",Input!$A125&amp;""""&amp;Input!$B125&amp;""":"&amp;Input!$C125&amp;Input!F125&amp;Input!$C125&amp;Input!$D125&amp;IF(ISBLANK(Input!$B126),"}"&amp;IF(ISBLANK(H$1),"",","),""))</f>
        <v/>
      </c>
    </row>
    <row r="126" spans="6:7" x14ac:dyDescent="0.3">
      <c r="F126" t="str">
        <f>IF(ISBLANK(Input!$B126),"",Input!$A126&amp;""""&amp;Input!$B126&amp;""":"&amp;Input!$C126&amp;Input!E126&amp;Input!$C126&amp;Input!$D126&amp;IF(ISBLANK(Input!$B127),"}"&amp;IF(ISBLANK(G$1),"",","),""))</f>
        <v/>
      </c>
      <c r="G126" t="str">
        <f>IF(ISBLANK(Input!$B126),"",Input!$A126&amp;""""&amp;Input!$B126&amp;""":"&amp;Input!$C126&amp;Input!F126&amp;Input!$C126&amp;Input!$D126&amp;IF(ISBLANK(Input!$B127),"}"&amp;IF(ISBLANK(H$1),"",","),""))</f>
        <v/>
      </c>
    </row>
    <row r="127" spans="6:7" x14ac:dyDescent="0.3">
      <c r="F127" t="str">
        <f>IF(ISBLANK(Input!$B127),"",Input!$A127&amp;""""&amp;Input!$B127&amp;""":"&amp;Input!$C127&amp;Input!E127&amp;Input!$C127&amp;Input!$D127&amp;IF(ISBLANK(Input!$B128),"}"&amp;IF(ISBLANK(G$1),"",","),""))</f>
        <v/>
      </c>
      <c r="G127" t="str">
        <f>IF(ISBLANK(Input!$B127),"",Input!$A127&amp;""""&amp;Input!$B127&amp;""":"&amp;Input!$C127&amp;Input!F127&amp;Input!$C127&amp;Input!$D127&amp;IF(ISBLANK(Input!$B128),"}"&amp;IF(ISBLANK(H$1),"",","),""))</f>
        <v/>
      </c>
    </row>
    <row r="128" spans="6:7" x14ac:dyDescent="0.3">
      <c r="F128" t="str">
        <f>IF(ISBLANK(Input!$B128),"",Input!$A128&amp;""""&amp;Input!$B128&amp;""":"&amp;Input!$C128&amp;Input!E128&amp;Input!$C128&amp;Input!$D128&amp;IF(ISBLANK(Input!$B129),"}"&amp;IF(ISBLANK(G$1),"",","),""))</f>
        <v/>
      </c>
      <c r="G128" t="str">
        <f>IF(ISBLANK(Input!$B128),"",Input!$A128&amp;""""&amp;Input!$B128&amp;""":"&amp;Input!$C128&amp;Input!F128&amp;Input!$C128&amp;Input!$D128&amp;IF(ISBLANK(Input!$B129),"}"&amp;IF(ISBLANK(H$1),"",","),""))</f>
        <v/>
      </c>
    </row>
    <row r="129" spans="6:7" x14ac:dyDescent="0.3">
      <c r="F129" t="str">
        <f>IF(ISBLANK(Input!$B129),"",Input!$A129&amp;""""&amp;Input!$B129&amp;""":"&amp;Input!$C129&amp;Input!E129&amp;Input!$C129&amp;Input!$D129&amp;IF(ISBLANK(Input!$B130),"}"&amp;IF(ISBLANK(G$1),"",","),""))</f>
        <v/>
      </c>
      <c r="G129" t="str">
        <f>IF(ISBLANK(Input!$B129),"",Input!$A129&amp;""""&amp;Input!$B129&amp;""":"&amp;Input!$C129&amp;Input!F129&amp;Input!$C129&amp;Input!$D129&amp;IF(ISBLANK(Input!$B130),"}"&amp;IF(ISBLANK(H$1),"",","),""))</f>
        <v/>
      </c>
    </row>
    <row r="130" spans="6:7" x14ac:dyDescent="0.3">
      <c r="F130" t="str">
        <f>IF(ISBLANK(Input!$B130),"",Input!$A130&amp;""""&amp;Input!$B130&amp;""":"&amp;Input!$C130&amp;Input!E130&amp;Input!$C130&amp;Input!$D130&amp;IF(ISBLANK(Input!$B131),"}"&amp;IF(ISBLANK(G$1),"",","),""))</f>
        <v/>
      </c>
      <c r="G130" t="str">
        <f>IF(ISBLANK(Input!$B130),"",Input!$A130&amp;""""&amp;Input!$B130&amp;""":"&amp;Input!$C130&amp;Input!F130&amp;Input!$C130&amp;Input!$D130&amp;IF(ISBLANK(Input!$B131),"}"&amp;IF(ISBLANK(H$1),"",","),""))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4.4" x14ac:dyDescent="0.3"/>
  <sheetData>
    <row r="1" spans="1:13" x14ac:dyDescent="0.3">
      <c r="F1" t="str">
        <f>_xlfn.CONCAT(Calculations!F:F)</f>
        <v>"en":{"name":"English","appName":"CIT","appFName":"Control and Identification Toolbox","algorithms":{"sResponse":{"name":"System response","documentation":"ol-system.pdf","fGens":{"u":{"name":"Input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'freq','duty']}}}},</v>
      </c>
      <c r="G1" t="str">
        <f>_xlfn.CONCAT(Calculations!G:G)</f>
        <v>"es":{"name":"Español","appName":"CIT","appFName":"Caja de herramientas de control e identificación","algorithms":{"sResponse":{"name":"Respuesta del sistema","documentation":"ol-system.pdf","fGens":{"u":{"name":"Entrada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'freq','duty']}}}}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3">
      <c r="A2" t="str">
        <f>"var lang={"&amp;_xlfn.CONCAT(1:1)&amp;"}"</f>
        <v>var lang={"en":{"name":"English","appName":"CIT","appFName":"Control and Identification Toolbox","algorithms":{"sResponse":{"name":"System response","documentation":"ol-system.pdf","fGens":{"u":{"name":"Input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'freq','duty']}}}},"es":{"name":"Español","appName":"CIT","appFName":"Caja de herramientas de control e identificación","algorithms":{"sResponse":{"name":"Respuesta del sistema","documentation":"ol-system.pdf","fGens":{"u":{"name":"Entrada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'freq','duty']}}}}}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2019-11-16T00:39:29Z</dcterms:created>
  <dcterms:modified xsi:type="dcterms:W3CDTF">2019-11-21T06:03:33Z</dcterms:modified>
</cp:coreProperties>
</file>