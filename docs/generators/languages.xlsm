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CIT\docs\generators\"/>
    </mc:Choice>
  </mc:AlternateContent>
  <xr:revisionPtr revIDLastSave="0" documentId="13_ncr:1_{46F4C058-3ABA-4C70-B68B-4E1BF73691C8}" xr6:coauthVersionLast="41" xr6:coauthVersionMax="45" xr10:uidLastSave="{00000000-0000-0000-0000-000000000000}"/>
  <bookViews>
    <workbookView xWindow="-108" yWindow="-108" windowWidth="23256" windowHeight="12576" xr2:uid="{9FCA34C7-F627-4120-875B-04DF79D1D5FC}"/>
  </bookViews>
  <sheets>
    <sheet name="Input" sheetId="1" r:id="rId1"/>
    <sheet name="Calculations" sheetId="2" r:id="rId2"/>
    <sheet name="Output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" i="2" l="1"/>
  <c r="G3" i="2"/>
  <c r="F4" i="2"/>
  <c r="G4" i="2"/>
  <c r="F5" i="2"/>
  <c r="G5" i="2"/>
  <c r="F6" i="2"/>
  <c r="G6" i="2"/>
  <c r="F7" i="2"/>
  <c r="G7" i="2"/>
  <c r="F8" i="2"/>
  <c r="G8" i="2"/>
  <c r="F9" i="2"/>
  <c r="G9" i="2"/>
  <c r="F10" i="2"/>
  <c r="G10" i="2"/>
  <c r="F11" i="2"/>
  <c r="G11" i="2"/>
  <c r="F12" i="2"/>
  <c r="G12" i="2"/>
  <c r="F13" i="2"/>
  <c r="G13" i="2"/>
  <c r="F14" i="2"/>
  <c r="G14" i="2"/>
  <c r="F15" i="2"/>
  <c r="G15" i="2"/>
  <c r="F16" i="2"/>
  <c r="G16" i="2"/>
  <c r="F17" i="2"/>
  <c r="G17" i="2"/>
  <c r="F18" i="2"/>
  <c r="G18" i="2"/>
  <c r="F19" i="2"/>
  <c r="G19" i="2"/>
  <c r="F20" i="2"/>
  <c r="G20" i="2"/>
  <c r="F21" i="2"/>
  <c r="G21" i="2"/>
  <c r="F22" i="2"/>
  <c r="G22" i="2"/>
  <c r="F23" i="2"/>
  <c r="G23" i="2"/>
  <c r="F24" i="2"/>
  <c r="G24" i="2"/>
  <c r="F25" i="2"/>
  <c r="G25" i="2"/>
  <c r="F26" i="2"/>
  <c r="G26" i="2"/>
  <c r="F27" i="2"/>
  <c r="G27" i="2"/>
  <c r="F28" i="2"/>
  <c r="G28" i="2"/>
  <c r="F29" i="2"/>
  <c r="G29" i="2"/>
  <c r="F30" i="2"/>
  <c r="G30" i="2"/>
  <c r="F31" i="2"/>
  <c r="G31" i="2"/>
  <c r="F32" i="2"/>
  <c r="G32" i="2"/>
  <c r="F33" i="2"/>
  <c r="G33" i="2"/>
  <c r="F34" i="2"/>
  <c r="G34" i="2"/>
  <c r="F35" i="2"/>
  <c r="G35" i="2"/>
  <c r="F36" i="2"/>
  <c r="G36" i="2"/>
  <c r="F37" i="2"/>
  <c r="G37" i="2"/>
  <c r="F38" i="2"/>
  <c r="G38" i="2"/>
  <c r="F39" i="2"/>
  <c r="G39" i="2"/>
  <c r="F40" i="2"/>
  <c r="G40" i="2"/>
  <c r="F41" i="2"/>
  <c r="G41" i="2"/>
  <c r="F42" i="2"/>
  <c r="G42" i="2"/>
  <c r="F43" i="2"/>
  <c r="G43" i="2"/>
  <c r="F44" i="2"/>
  <c r="G44" i="2"/>
  <c r="F45" i="2"/>
  <c r="G45" i="2"/>
  <c r="F46" i="2"/>
  <c r="G46" i="2"/>
  <c r="F47" i="2"/>
  <c r="G47" i="2"/>
  <c r="F48" i="2"/>
  <c r="G48" i="2"/>
  <c r="F49" i="2"/>
  <c r="G49" i="2"/>
  <c r="F50" i="2"/>
  <c r="G50" i="2"/>
  <c r="F51" i="2"/>
  <c r="G51" i="2"/>
  <c r="F52" i="2"/>
  <c r="G52" i="2"/>
  <c r="F53" i="2"/>
  <c r="G53" i="2"/>
  <c r="F54" i="2"/>
  <c r="G54" i="2"/>
  <c r="F55" i="2"/>
  <c r="G55" i="2"/>
  <c r="F56" i="2"/>
  <c r="G56" i="2"/>
  <c r="F57" i="2"/>
  <c r="G57" i="2"/>
  <c r="F58" i="2"/>
  <c r="G58" i="2"/>
  <c r="F59" i="2"/>
  <c r="G59" i="2"/>
  <c r="F60" i="2"/>
  <c r="G60" i="2"/>
  <c r="F61" i="2"/>
  <c r="G61" i="2"/>
  <c r="F62" i="2"/>
  <c r="G62" i="2"/>
  <c r="F63" i="2"/>
  <c r="G63" i="2"/>
  <c r="F64" i="2"/>
  <c r="G64" i="2"/>
  <c r="F65" i="2"/>
  <c r="G65" i="2"/>
  <c r="F66" i="2"/>
  <c r="G66" i="2"/>
  <c r="F67" i="2"/>
  <c r="G67" i="2"/>
  <c r="F68" i="2"/>
  <c r="G68" i="2"/>
  <c r="F69" i="2"/>
  <c r="G69" i="2"/>
  <c r="F70" i="2"/>
  <c r="G70" i="2"/>
  <c r="F71" i="2"/>
  <c r="G71" i="2"/>
  <c r="F72" i="2"/>
  <c r="G72" i="2"/>
  <c r="F73" i="2"/>
  <c r="G73" i="2"/>
  <c r="F74" i="2"/>
  <c r="G74" i="2"/>
  <c r="F75" i="2"/>
  <c r="G75" i="2"/>
  <c r="F76" i="2"/>
  <c r="G76" i="2"/>
  <c r="F77" i="2"/>
  <c r="G77" i="2"/>
  <c r="F78" i="2"/>
  <c r="G78" i="2"/>
  <c r="F79" i="2"/>
  <c r="G79" i="2"/>
  <c r="F80" i="2"/>
  <c r="G80" i="2"/>
  <c r="F81" i="2"/>
  <c r="G81" i="2"/>
  <c r="F82" i="2"/>
  <c r="G82" i="2"/>
  <c r="F83" i="2"/>
  <c r="G83" i="2"/>
  <c r="F84" i="2"/>
  <c r="G84" i="2"/>
  <c r="F85" i="2"/>
  <c r="G85" i="2"/>
  <c r="F86" i="2"/>
  <c r="G86" i="2"/>
  <c r="F87" i="2"/>
  <c r="G87" i="2"/>
  <c r="F88" i="2"/>
  <c r="G88" i="2"/>
  <c r="F89" i="2"/>
  <c r="G89" i="2"/>
  <c r="F90" i="2"/>
  <c r="G90" i="2"/>
  <c r="F91" i="2"/>
  <c r="G91" i="2"/>
  <c r="F92" i="2"/>
  <c r="G92" i="2"/>
  <c r="F93" i="2"/>
  <c r="G93" i="2"/>
  <c r="F94" i="2"/>
  <c r="G94" i="2"/>
  <c r="F95" i="2"/>
  <c r="G95" i="2"/>
  <c r="F96" i="2"/>
  <c r="G96" i="2"/>
  <c r="F97" i="2"/>
  <c r="G97" i="2"/>
  <c r="F98" i="2"/>
  <c r="G98" i="2"/>
  <c r="F99" i="2"/>
  <c r="G99" i="2"/>
  <c r="F100" i="2"/>
  <c r="G100" i="2"/>
  <c r="F101" i="2"/>
  <c r="G101" i="2"/>
  <c r="F102" i="2"/>
  <c r="G102" i="2"/>
  <c r="F103" i="2"/>
  <c r="G103" i="2"/>
  <c r="F104" i="2"/>
  <c r="G104" i="2"/>
  <c r="F105" i="2"/>
  <c r="G105" i="2"/>
  <c r="F106" i="2"/>
  <c r="G106" i="2"/>
  <c r="F107" i="2"/>
  <c r="G107" i="2"/>
  <c r="F108" i="2"/>
  <c r="G108" i="2"/>
  <c r="F109" i="2"/>
  <c r="G109" i="2"/>
  <c r="F110" i="2"/>
  <c r="G110" i="2"/>
  <c r="F111" i="2"/>
  <c r="G111" i="2"/>
  <c r="F112" i="2"/>
  <c r="G112" i="2"/>
  <c r="F113" i="2"/>
  <c r="G113" i="2"/>
  <c r="F114" i="2"/>
  <c r="G114" i="2"/>
  <c r="F115" i="2"/>
  <c r="G115" i="2"/>
  <c r="F116" i="2"/>
  <c r="G116" i="2"/>
  <c r="F117" i="2"/>
  <c r="G117" i="2"/>
  <c r="F118" i="2"/>
  <c r="G118" i="2"/>
  <c r="F119" i="2"/>
  <c r="G119" i="2"/>
  <c r="F120" i="2"/>
  <c r="G120" i="2"/>
  <c r="F121" i="2"/>
  <c r="G121" i="2"/>
  <c r="F122" i="2"/>
  <c r="G122" i="2"/>
  <c r="F123" i="2"/>
  <c r="G123" i="2"/>
  <c r="F124" i="2"/>
  <c r="G124" i="2"/>
  <c r="F125" i="2"/>
  <c r="G125" i="2"/>
  <c r="F126" i="2"/>
  <c r="G126" i="2"/>
  <c r="F127" i="2"/>
  <c r="G127" i="2"/>
  <c r="F128" i="2"/>
  <c r="G128" i="2"/>
  <c r="F129" i="2"/>
  <c r="G129" i="2"/>
  <c r="F130" i="2"/>
  <c r="G130" i="2"/>
  <c r="F131" i="2"/>
  <c r="G131" i="2"/>
  <c r="F132" i="2"/>
  <c r="G132" i="2"/>
  <c r="F133" i="2"/>
  <c r="G133" i="2"/>
  <c r="F134" i="2"/>
  <c r="G134" i="2"/>
  <c r="F135" i="2"/>
  <c r="G135" i="2"/>
  <c r="F136" i="2"/>
  <c r="G136" i="2"/>
  <c r="F137" i="2"/>
  <c r="G137" i="2"/>
  <c r="F138" i="2"/>
  <c r="G138" i="2"/>
  <c r="F139" i="2"/>
  <c r="G139" i="2"/>
  <c r="F140" i="2"/>
  <c r="G140" i="2"/>
  <c r="F141" i="2"/>
  <c r="G141" i="2"/>
  <c r="F142" i="2"/>
  <c r="G142" i="2"/>
  <c r="F143" i="2"/>
  <c r="G143" i="2"/>
  <c r="F144" i="2"/>
  <c r="G144" i="2"/>
  <c r="F145" i="2"/>
  <c r="G145" i="2"/>
  <c r="F146" i="2"/>
  <c r="G146" i="2"/>
  <c r="F147" i="2"/>
  <c r="G147" i="2"/>
  <c r="F148" i="2"/>
  <c r="G148" i="2"/>
  <c r="F149" i="2"/>
  <c r="G149" i="2"/>
  <c r="F150" i="2"/>
  <c r="G150" i="2"/>
  <c r="F151" i="2"/>
  <c r="G151" i="2"/>
  <c r="F152" i="2"/>
  <c r="G152" i="2"/>
  <c r="F153" i="2"/>
  <c r="G153" i="2"/>
  <c r="F154" i="2"/>
  <c r="G154" i="2"/>
  <c r="F155" i="2"/>
  <c r="G155" i="2"/>
  <c r="F156" i="2"/>
  <c r="G156" i="2"/>
  <c r="F157" i="2"/>
  <c r="G157" i="2"/>
  <c r="F158" i="2"/>
  <c r="G158" i="2"/>
  <c r="F159" i="2"/>
  <c r="G159" i="2"/>
  <c r="F160" i="2"/>
  <c r="G160" i="2"/>
  <c r="F161" i="2"/>
  <c r="G161" i="2"/>
  <c r="F162" i="2"/>
  <c r="G162" i="2"/>
  <c r="F163" i="2"/>
  <c r="G163" i="2"/>
  <c r="F164" i="2"/>
  <c r="G164" i="2"/>
  <c r="F165" i="2"/>
  <c r="G165" i="2"/>
  <c r="F166" i="2"/>
  <c r="G166" i="2"/>
  <c r="F167" i="2"/>
  <c r="G167" i="2"/>
  <c r="F168" i="2"/>
  <c r="G168" i="2"/>
  <c r="F169" i="2"/>
  <c r="G169" i="2"/>
  <c r="F170" i="2"/>
  <c r="G170" i="2"/>
  <c r="F171" i="2"/>
  <c r="G171" i="2"/>
  <c r="F172" i="2"/>
  <c r="G172" i="2"/>
  <c r="F173" i="2"/>
  <c r="G173" i="2"/>
  <c r="F174" i="2"/>
  <c r="G174" i="2"/>
  <c r="F175" i="2"/>
  <c r="G175" i="2"/>
  <c r="F176" i="2"/>
  <c r="G176" i="2"/>
  <c r="F177" i="2"/>
  <c r="G177" i="2"/>
  <c r="F178" i="2"/>
  <c r="G178" i="2"/>
  <c r="F179" i="2"/>
  <c r="G179" i="2"/>
  <c r="F180" i="2"/>
  <c r="G180" i="2"/>
  <c r="F181" i="2"/>
  <c r="G181" i="2"/>
  <c r="F182" i="2"/>
  <c r="G182" i="2"/>
  <c r="F183" i="2"/>
  <c r="G183" i="2"/>
  <c r="F184" i="2"/>
  <c r="G184" i="2"/>
  <c r="F185" i="2"/>
  <c r="G185" i="2"/>
  <c r="F186" i="2"/>
  <c r="G186" i="2"/>
  <c r="F187" i="2"/>
  <c r="G187" i="2"/>
  <c r="F188" i="2"/>
  <c r="G188" i="2"/>
  <c r="F189" i="2"/>
  <c r="G189" i="2"/>
  <c r="F190" i="2"/>
  <c r="G190" i="2"/>
  <c r="F191" i="2"/>
  <c r="G191" i="2"/>
  <c r="F192" i="2"/>
  <c r="G192" i="2"/>
  <c r="F193" i="2"/>
  <c r="G193" i="2"/>
  <c r="F194" i="2"/>
  <c r="G194" i="2"/>
  <c r="F195" i="2"/>
  <c r="G195" i="2"/>
  <c r="F196" i="2"/>
  <c r="G196" i="2"/>
  <c r="F197" i="2"/>
  <c r="G197" i="2"/>
  <c r="F198" i="2"/>
  <c r="G198" i="2"/>
  <c r="F199" i="2"/>
  <c r="G199" i="2"/>
  <c r="F200" i="2"/>
  <c r="G200" i="2"/>
  <c r="F201" i="2"/>
  <c r="G201" i="2"/>
  <c r="F202" i="2"/>
  <c r="G202" i="2"/>
  <c r="F203" i="2"/>
  <c r="G203" i="2"/>
  <c r="F204" i="2"/>
  <c r="G204" i="2"/>
  <c r="F205" i="2"/>
  <c r="G205" i="2"/>
  <c r="F206" i="2"/>
  <c r="G206" i="2"/>
  <c r="F207" i="2"/>
  <c r="G207" i="2"/>
  <c r="F208" i="2"/>
  <c r="G208" i="2"/>
  <c r="F209" i="2"/>
  <c r="G209" i="2"/>
  <c r="F210" i="2"/>
  <c r="G210" i="2"/>
  <c r="F211" i="2"/>
  <c r="G211" i="2"/>
  <c r="F212" i="2"/>
  <c r="G212" i="2"/>
  <c r="F213" i="2"/>
  <c r="G213" i="2"/>
  <c r="F214" i="2"/>
  <c r="G214" i="2"/>
  <c r="F215" i="2"/>
  <c r="G215" i="2"/>
  <c r="F216" i="2"/>
  <c r="G216" i="2"/>
  <c r="F217" i="2"/>
  <c r="G217" i="2"/>
  <c r="F218" i="2"/>
  <c r="G218" i="2"/>
  <c r="F219" i="2"/>
  <c r="G219" i="2"/>
  <c r="F220" i="2"/>
  <c r="G220" i="2"/>
  <c r="F221" i="2"/>
  <c r="G221" i="2"/>
  <c r="F222" i="2"/>
  <c r="G222" i="2"/>
  <c r="F223" i="2"/>
  <c r="G223" i="2"/>
  <c r="F224" i="2"/>
  <c r="G224" i="2"/>
  <c r="F225" i="2"/>
  <c r="G225" i="2"/>
  <c r="F226" i="2"/>
  <c r="G226" i="2"/>
  <c r="F227" i="2"/>
  <c r="G227" i="2"/>
  <c r="F228" i="2"/>
  <c r="G228" i="2"/>
  <c r="F229" i="2"/>
  <c r="G229" i="2"/>
  <c r="F230" i="2"/>
  <c r="G230" i="2"/>
  <c r="F231" i="2"/>
  <c r="G231" i="2"/>
  <c r="F232" i="2"/>
  <c r="G232" i="2"/>
  <c r="F233" i="2"/>
  <c r="G233" i="2"/>
  <c r="F234" i="2"/>
  <c r="G234" i="2"/>
  <c r="F235" i="2"/>
  <c r="G235" i="2"/>
  <c r="F236" i="2"/>
  <c r="G236" i="2"/>
  <c r="F237" i="2"/>
  <c r="G237" i="2"/>
  <c r="F238" i="2"/>
  <c r="G238" i="2"/>
  <c r="F239" i="2"/>
  <c r="G239" i="2"/>
  <c r="F240" i="2"/>
  <c r="G240" i="2"/>
  <c r="F241" i="2"/>
  <c r="G241" i="2"/>
  <c r="F242" i="2"/>
  <c r="G242" i="2"/>
  <c r="F243" i="2"/>
  <c r="G243" i="2"/>
  <c r="F244" i="2"/>
  <c r="G244" i="2"/>
  <c r="F245" i="2"/>
  <c r="G245" i="2"/>
  <c r="F246" i="2"/>
  <c r="G246" i="2"/>
  <c r="F247" i="2"/>
  <c r="G247" i="2"/>
  <c r="F248" i="2"/>
  <c r="G248" i="2"/>
  <c r="F249" i="2"/>
  <c r="G249" i="2"/>
  <c r="F250" i="2"/>
  <c r="G250" i="2"/>
  <c r="F251" i="2"/>
  <c r="G251" i="2"/>
  <c r="F252" i="2"/>
  <c r="G252" i="2"/>
  <c r="F253" i="2"/>
  <c r="G253" i="2"/>
  <c r="F254" i="2"/>
  <c r="G254" i="2"/>
  <c r="F255" i="2"/>
  <c r="G255" i="2"/>
  <c r="F256" i="2"/>
  <c r="G256" i="2"/>
  <c r="F257" i="2"/>
  <c r="G257" i="2"/>
  <c r="F258" i="2"/>
  <c r="G258" i="2"/>
  <c r="F259" i="2"/>
  <c r="G259" i="2"/>
  <c r="F260" i="2"/>
  <c r="G260" i="2"/>
  <c r="F261" i="2"/>
  <c r="G261" i="2"/>
  <c r="F262" i="2"/>
  <c r="G262" i="2"/>
  <c r="F263" i="2"/>
  <c r="G263" i="2"/>
  <c r="F264" i="2"/>
  <c r="G264" i="2"/>
  <c r="F265" i="2"/>
  <c r="G265" i="2"/>
  <c r="F266" i="2"/>
  <c r="G266" i="2"/>
  <c r="F267" i="2"/>
  <c r="G267" i="2"/>
  <c r="F268" i="2"/>
  <c r="G268" i="2"/>
  <c r="F269" i="2"/>
  <c r="G269" i="2"/>
  <c r="F270" i="2"/>
  <c r="G270" i="2"/>
  <c r="F271" i="2"/>
  <c r="G271" i="2"/>
  <c r="F272" i="2"/>
  <c r="G272" i="2"/>
  <c r="F273" i="2"/>
  <c r="G273" i="2"/>
  <c r="F274" i="2"/>
  <c r="G274" i="2"/>
  <c r="F275" i="2"/>
  <c r="G275" i="2"/>
  <c r="F276" i="2"/>
  <c r="G276" i="2"/>
  <c r="F277" i="2"/>
  <c r="G277" i="2"/>
  <c r="F278" i="2"/>
  <c r="G278" i="2"/>
  <c r="F279" i="2"/>
  <c r="G279" i="2"/>
  <c r="F280" i="2"/>
  <c r="G280" i="2"/>
  <c r="F281" i="2"/>
  <c r="G281" i="2"/>
  <c r="F282" i="2"/>
  <c r="G282" i="2"/>
  <c r="F283" i="2"/>
  <c r="G283" i="2"/>
  <c r="F284" i="2"/>
  <c r="G284" i="2"/>
  <c r="F285" i="2"/>
  <c r="G285" i="2"/>
  <c r="F286" i="2"/>
  <c r="G286" i="2"/>
  <c r="F287" i="2"/>
  <c r="G287" i="2"/>
  <c r="F288" i="2"/>
  <c r="G288" i="2"/>
  <c r="F289" i="2"/>
  <c r="G289" i="2"/>
  <c r="F290" i="2"/>
  <c r="G290" i="2"/>
  <c r="F291" i="2"/>
  <c r="G291" i="2"/>
  <c r="F292" i="2"/>
  <c r="G292" i="2"/>
  <c r="F293" i="2"/>
  <c r="G293" i="2"/>
  <c r="F294" i="2"/>
  <c r="G294" i="2"/>
  <c r="F295" i="2"/>
  <c r="G295" i="2"/>
  <c r="F296" i="2"/>
  <c r="G296" i="2"/>
  <c r="F297" i="2"/>
  <c r="G297" i="2"/>
  <c r="F298" i="2"/>
  <c r="G298" i="2"/>
  <c r="F299" i="2"/>
  <c r="G299" i="2"/>
  <c r="F300" i="2"/>
  <c r="G300" i="2"/>
  <c r="F301" i="2"/>
  <c r="G301" i="2"/>
  <c r="F302" i="2"/>
  <c r="G302" i="2"/>
  <c r="F303" i="2"/>
  <c r="G303" i="2"/>
  <c r="F304" i="2"/>
  <c r="G304" i="2"/>
  <c r="F305" i="2"/>
  <c r="G305" i="2"/>
  <c r="F306" i="2"/>
  <c r="G306" i="2"/>
  <c r="F307" i="2"/>
  <c r="G307" i="2"/>
  <c r="F308" i="2"/>
  <c r="G308" i="2"/>
  <c r="F309" i="2"/>
  <c r="G309" i="2"/>
  <c r="F310" i="2"/>
  <c r="G310" i="2"/>
  <c r="F311" i="2"/>
  <c r="G311" i="2"/>
  <c r="F312" i="2"/>
  <c r="G312" i="2"/>
  <c r="F313" i="2"/>
  <c r="G313" i="2"/>
  <c r="F314" i="2"/>
  <c r="G314" i="2"/>
  <c r="F315" i="2"/>
  <c r="G315" i="2"/>
  <c r="F316" i="2"/>
  <c r="G316" i="2"/>
  <c r="F317" i="2"/>
  <c r="G317" i="2"/>
  <c r="F318" i="2"/>
  <c r="G318" i="2"/>
  <c r="F319" i="2"/>
  <c r="G319" i="2"/>
  <c r="F320" i="2"/>
  <c r="G320" i="2"/>
  <c r="F321" i="2"/>
  <c r="G321" i="2"/>
  <c r="F322" i="2"/>
  <c r="G322" i="2"/>
  <c r="F323" i="2"/>
  <c r="G323" i="2"/>
  <c r="F124" i="1" l="1"/>
  <c r="F121" i="1"/>
  <c r="F118" i="1"/>
  <c r="F115" i="1"/>
  <c r="F112" i="1"/>
  <c r="F97" i="1"/>
  <c r="F96" i="1"/>
  <c r="F2" i="2" l="1"/>
  <c r="G2" i="2"/>
  <c r="F107" i="1" l="1"/>
  <c r="F106" i="1"/>
  <c r="F105" i="1"/>
  <c r="F101" i="1"/>
  <c r="F102" i="1"/>
  <c r="F100" i="1"/>
  <c r="F92" i="1"/>
  <c r="F91" i="1"/>
  <c r="F90" i="1"/>
  <c r="F87" i="1"/>
  <c r="F86" i="1"/>
  <c r="F85" i="1"/>
  <c r="F81" i="1"/>
  <c r="F82" i="1"/>
  <c r="F80" i="1"/>
  <c r="F26" i="1"/>
  <c r="F36" i="1"/>
  <c r="F37" i="1"/>
  <c r="F35" i="1"/>
  <c r="F31" i="1"/>
  <c r="F32" i="1"/>
  <c r="F30" i="1"/>
  <c r="F27" i="1"/>
  <c r="F25" i="1"/>
  <c r="H1" i="3" l="1"/>
  <c r="I1" i="3"/>
  <c r="J1" i="3"/>
  <c r="K1" i="3"/>
  <c r="L1" i="3"/>
  <c r="M1" i="3"/>
  <c r="G1" i="2"/>
  <c r="F1" i="2"/>
  <c r="G1" i="3" l="1"/>
  <c r="F1" i="3"/>
  <c r="A2" i="3" l="1"/>
</calcChain>
</file>

<file path=xl/sharedStrings.xml><?xml version="1.0" encoding="utf-8"?>
<sst xmlns="http://schemas.openxmlformats.org/spreadsheetml/2006/main" count="532" uniqueCount="214">
  <si>
    <t>Pre</t>
  </si>
  <si>
    <t>Post</t>
  </si>
  <si>
    <t>en</t>
  </si>
  <si>
    <t>es</t>
  </si>
  <si>
    <t>{</t>
  </si>
  <si>
    <t>,</t>
  </si>
  <si>
    <t>Property</t>
  </si>
  <si>
    <t>Around</t>
  </si>
  <si>
    <t>name</t>
  </si>
  <si>
    <t>English</t>
  </si>
  <si>
    <t>Español</t>
  </si>
  <si>
    <t>"</t>
  </si>
  <si>
    <t>appName</t>
  </si>
  <si>
    <t>appFName</t>
  </si>
  <si>
    <t>algorithms</t>
  </si>
  <si>
    <t>sResponse</t>
  </si>
  <si>
    <t>System response</t>
  </si>
  <si>
    <t>pid</t>
  </si>
  <si>
    <t>PID controller</t>
  </si>
  <si>
    <t>mTabs</t>
  </si>
  <si>
    <t>bridgeDevice</t>
  </si>
  <si>
    <t>params</t>
  </si>
  <si>
    <t>graphs</t>
  </si>
  <si>
    <t>bridge</t>
  </si>
  <si>
    <t>iTypeName</t>
  </si>
  <si>
    <t>iTypes</t>
  </si>
  <si>
    <t>analog</t>
  </si>
  <si>
    <t>encoder</t>
  </si>
  <si>
    <t>temp</t>
  </si>
  <si>
    <t>humidity</t>
  </si>
  <si>
    <t>current</t>
  </si>
  <si>
    <t>light</t>
  </si>
  <si>
    <t>Bridge device configuration</t>
  </si>
  <si>
    <t>Simulation parameters</t>
  </si>
  <si>
    <t>Graphs</t>
  </si>
  <si>
    <t>Input type</t>
  </si>
  <si>
    <t>Analog voltage</t>
  </si>
  <si>
    <t>Encoder</t>
  </si>
  <si>
    <t>Temperature sensor</t>
  </si>
  <si>
    <t>Humidity sensor</t>
  </si>
  <si>
    <t>Aanalog current</t>
  </si>
  <si>
    <t>Light sensor</t>
  </si>
  <si>
    <t>},</t>
  </si>
  <si>
    <t>}},</t>
  </si>
  <si>
    <t>Respuesta del sistema</t>
  </si>
  <si>
    <t>Controlador PID</t>
  </si>
  <si>
    <t>Configuración del dispositivo puente</t>
  </si>
  <si>
    <t>Parámetros de simulación</t>
  </si>
  <si>
    <t>Gráficos</t>
  </si>
  <si>
    <t>Tipo de entrada</t>
  </si>
  <si>
    <t>Voltaje análogo</t>
  </si>
  <si>
    <t>Codificador</t>
  </si>
  <si>
    <t>Sensor de temperatura</t>
  </si>
  <si>
    <t>Sensor de humedad</t>
  </si>
  <si>
    <t>Aanalog actual</t>
  </si>
  <si>
    <t>Sensor de luz</t>
  </si>
  <si>
    <t>inputs</t>
  </si>
  <si>
    <t>outputs</t>
  </si>
  <si>
    <t>in</t>
  </si>
  <si>
    <t>out</t>
  </si>
  <si>
    <t>}}},</t>
  </si>
  <si>
    <t>oTypeName</t>
  </si>
  <si>
    <t>Output type</t>
  </si>
  <si>
    <t>Tipo de salida</t>
  </si>
  <si>
    <t>oTypes</t>
  </si>
  <si>
    <t>dc0</t>
  </si>
  <si>
    <t>dc1</t>
  </si>
  <si>
    <t>ac0</t>
  </si>
  <si>
    <t>ac1</t>
  </si>
  <si>
    <t>Pulsed DC voltage out Ch01</t>
  </si>
  <si>
    <t>Pulsed DC voltage out Ch00</t>
  </si>
  <si>
    <t>Pulsed AC voltage out Ch00</t>
  </si>
  <si>
    <t>Pulsed AC voltage out Ch01</t>
  </si>
  <si>
    <t>Saluda de tensión DC pulsada Ch00</t>
  </si>
  <si>
    <t>Saluda de tensión DC pulsada Ch01</t>
  </si>
  <si>
    <t>Saluda de tensión AC pulsada Ch00</t>
  </si>
  <si>
    <t>Saluda de tensión AC pulsada Ch01</t>
  </si>
  <si>
    <t>System input, $u(t)$</t>
  </si>
  <si>
    <t>Entrada del sistema, $u(t)$</t>
  </si>
  <si>
    <t>System output, $y(t)$</t>
  </si>
  <si>
    <t>Control signal, $u(t)$</t>
  </si>
  <si>
    <t>Siñal de control, $u(t)$</t>
  </si>
  <si>
    <t>Salida del sistema, $y(t)$</t>
  </si>
  <si>
    <t>offset</t>
  </si>
  <si>
    <t>Offset</t>
  </si>
  <si>
    <t>gain</t>
  </si>
  <si>
    <t>Gain</t>
  </si>
  <si>
    <t>Ganancia</t>
  </si>
  <si>
    <t>Mathematical model</t>
  </si>
  <si>
    <t>Modelo matemático</t>
  </si>
  <si>
    <t>mModel</t>
  </si>
  <si>
    <t>documentation</t>
  </si>
  <si>
    <t>pid.pdf</t>
  </si>
  <si>
    <t>ol-system.pdf</t>
  </si>
  <si>
    <t>aSelection</t>
  </si>
  <si>
    <t>Algorithm selection</t>
  </si>
  <si>
    <t>Selección de algoritmo</t>
  </si>
  <si>
    <t>k-p</t>
  </si>
  <si>
    <t>k-i</t>
  </si>
  <si>
    <t>k-d</t>
  </si>
  <si>
    <t>noParams</t>
  </si>
  <si>
    <t>Parameters are unavailable for the selected algorithm.</t>
  </si>
  <si>
    <t>Los parámetros no están disponibles para el algoritmo seleccionado.</t>
  </si>
  <si>
    <t>dValue</t>
  </si>
  <si>
    <t>Proportional constant, $K_P$</t>
  </si>
  <si>
    <t>Constante proporcional, $K_P$</t>
  </si>
  <si>
    <t>Integral constant, $K_I$</t>
  </si>
  <si>
    <t>Constante integral, $K_I$</t>
  </si>
  <si>
    <t>Derivative constant, $K_D$</t>
  </si>
  <si>
    <t>Constante derivada, $K_D$</t>
  </si>
  <si>
    <t>fGens</t>
  </si>
  <si>
    <t>Function generator(s)</t>
  </si>
  <si>
    <t>Generador(es) de funciones</t>
  </si>
  <si>
    <t>u</t>
  </si>
  <si>
    <t>Input to the system, $u(t)$</t>
  </si>
  <si>
    <t>Reference, $r(t)$</t>
  </si>
  <si>
    <t>Referencia, $r(t)$</t>
  </si>
  <si>
    <t>Entrada al sistema, $u(t)$</t>
  </si>
  <si>
    <t>min</t>
  </si>
  <si>
    <t>max</t>
  </si>
  <si>
    <t>-Infinity</t>
  </si>
  <si>
    <t>Infinity</t>
  </si>
  <si>
    <t>amp</t>
  </si>
  <si>
    <t>Amplitude</t>
  </si>
  <si>
    <t>freq</t>
  </si>
  <si>
    <t>Frequency</t>
  </si>
  <si>
    <t>duty</t>
  </si>
  <si>
    <t>Duty  cycle</t>
  </si>
  <si>
    <t>start</t>
  </si>
  <si>
    <t>Start at</t>
  </si>
  <si>
    <t>iSignal</t>
  </si>
  <si>
    <t>Invert signal</t>
  </si>
  <si>
    <t>sTypes</t>
  </si>
  <si>
    <t>step</t>
  </si>
  <si>
    <t>Step function</t>
  </si>
  <si>
    <t>sine</t>
  </si>
  <si>
    <t>Sine wave</t>
  </si>
  <si>
    <t>triangle</t>
  </si>
  <si>
    <t>Triangular wave</t>
  </si>
  <si>
    <t>rect</t>
  </si>
  <si>
    <t>Rectangular wave</t>
  </si>
  <si>
    <t>sawtooth</t>
  </si>
  <si>
    <t>Sawtooth wave</t>
  </si>
  <si>
    <t>sType</t>
  </si>
  <si>
    <t>Signal type</t>
  </si>
  <si>
    <t>}</t>
  </si>
  <si>
    <t>errors</t>
  </si>
  <si>
    <t>Errors</t>
  </si>
  <si>
    <t>Errores</t>
  </si>
  <si>
    <t>Section</t>
  </si>
  <si>
    <t>Sección</t>
  </si>
  <si>
    <t>sec</t>
  </si>
  <si>
    <t>sSec</t>
  </si>
  <si>
    <t>Subsección</t>
  </si>
  <si>
    <t>Subsection</t>
  </si>
  <si>
    <t>uVal</t>
  </si>
  <si>
    <t>Value entered</t>
  </si>
  <si>
    <t>Valor ingresado</t>
  </si>
  <si>
    <t>uEFound</t>
  </si>
  <si>
    <t>uENFound</t>
  </si>
  <si>
    <t>No error found in the data entered by user.</t>
  </si>
  <si>
    <t>No se encontraron errores en los datos ingresados por el usuario.</t>
  </si>
  <si>
    <t>Minimum</t>
  </si>
  <si>
    <t>Maximum</t>
  </si>
  <si>
    <t>Mínimo</t>
  </si>
  <si>
    <t>Máximo</t>
  </si>
  <si>
    <t>Error: following values entered by the user are wrong.</t>
  </si>
  <si>
    <t>Error: los siguientes valores ingresados por el usuario son incorrectos.</t>
  </si>
  <si>
    <t>phase</t>
  </si>
  <si>
    <t>Phase</t>
  </si>
  <si>
    <t>Fase</t>
  </si>
  <si>
    <t>val</t>
  </si>
  <si>
    <t>['amp','freq','phase','offset']</t>
  </si>
  <si>
    <t>['amp','offset']</t>
  </si>
  <si>
    <t>['amp','freq', 'phase','offset']</t>
  </si>
  <si>
    <t>['amp','freq','phase','duty','offset']</t>
  </si>
  <si>
    <t>plots</t>
  </si>
  <si>
    <t>y</t>
  </si>
  <si>
    <t>e</t>
  </si>
  <si>
    <t>r</t>
  </si>
  <si>
    <t>Error, $e(t)$</t>
  </si>
  <si>
    <t>show</t>
  </si>
  <si>
    <t>Show in graph</t>
  </si>
  <si>
    <t>nWind</t>
  </si>
  <si>
    <t>Open in new window</t>
  </si>
  <si>
    <t>sLog</t>
  </si>
  <si>
    <t>Download the log</t>
  </si>
  <si>
    <t>sComplex</t>
  </si>
  <si>
    <t>Plot the complex numbers</t>
  </si>
  <si>
    <t>Mostrar en gráfico</t>
  </si>
  <si>
    <t>Descargar el registro</t>
  </si>
  <si>
    <t>Graficar los números complejos</t>
  </si>
  <si>
    <t>Abrir en nueva ventana</t>
  </si>
  <si>
    <t>sDAll</t>
  </si>
  <si>
    <t>Select/Deselect all</t>
  </si>
  <si>
    <t>Seleccionar / Deseleccionar todo</t>
  </si>
  <si>
    <t>sim</t>
  </si>
  <si>
    <t>run</t>
  </si>
  <si>
    <t>Run</t>
  </si>
  <si>
    <t>Ejecutar</t>
  </si>
  <si>
    <t>stop</t>
  </si>
  <si>
    <t>Stop</t>
  </si>
  <si>
    <t>Detener</t>
  </si>
  <si>
    <t>ts</t>
  </si>
  <si>
    <t>tPeriod</t>
  </si>
  <si>
    <t>Sampling time, $T_S$</t>
  </si>
  <si>
    <t>Tiempo de muestreo, $T_S$</t>
  </si>
  <si>
    <t>Execution time, $T$</t>
  </si>
  <si>
    <t>Tiempo de ejecución, $T$</t>
  </si>
  <si>
    <t>Simulation</t>
  </si>
  <si>
    <t>Simulación</t>
  </si>
  <si>
    <t>CIT-WL</t>
  </si>
  <si>
    <t>Control and Identification Toolbox - Web Laboratory</t>
  </si>
  <si>
    <t>Caja de herramientas de control e identificación - Laboratorio web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</si>
</sst>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</xdr:colOff>
          <xdr:row>0</xdr:row>
          <xdr:rowOff>38100</xdr:rowOff>
        </xdr:from>
        <xdr:to>
          <xdr:col>14</xdr:col>
          <xdr:colOff>541020</xdr:colOff>
          <xdr:row>4</xdr:row>
          <xdr:rowOff>7620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js00-lang.js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E6EAE-EE76-4787-A586-998983B297D3}">
  <sheetPr codeName="Sheet1"/>
  <dimension ref="A1:F145"/>
  <sheetViews>
    <sheetView tabSelected="1" workbookViewId="0">
      <selection activeCell="F5" sqref="F5"/>
    </sheetView>
  </sheetViews>
  <sheetFormatPr defaultRowHeight="14.4" x14ac:dyDescent="0.3"/>
  <cols>
    <col min="2" max="2" width="18" customWidth="1"/>
  </cols>
  <sheetData>
    <row r="1" spans="1:6" x14ac:dyDescent="0.3">
      <c r="A1" t="s">
        <v>0</v>
      </c>
      <c r="B1" t="s">
        <v>6</v>
      </c>
      <c r="C1" t="s">
        <v>7</v>
      </c>
      <c r="D1" t="s">
        <v>1</v>
      </c>
      <c r="E1" t="s">
        <v>2</v>
      </c>
      <c r="F1" t="s">
        <v>3</v>
      </c>
    </row>
    <row r="2" spans="1:6" x14ac:dyDescent="0.3">
      <c r="B2" t="s">
        <v>8</v>
      </c>
      <c r="C2" t="s">
        <v>11</v>
      </c>
      <c r="D2" t="s">
        <v>5</v>
      </c>
      <c r="E2" t="s">
        <v>9</v>
      </c>
      <c r="F2" t="s">
        <v>10</v>
      </c>
    </row>
    <row r="3" spans="1:6" x14ac:dyDescent="0.3">
      <c r="B3" t="s">
        <v>12</v>
      </c>
      <c r="C3" t="s">
        <v>11</v>
      </c>
      <c r="D3" t="s">
        <v>5</v>
      </c>
      <c r="E3" t="s">
        <v>211</v>
      </c>
      <c r="F3" t="s">
        <v>211</v>
      </c>
    </row>
    <row r="4" spans="1:6" x14ac:dyDescent="0.3">
      <c r="B4" t="s">
        <v>13</v>
      </c>
      <c r="C4" t="s">
        <v>11</v>
      </c>
      <c r="D4" t="s">
        <v>5</v>
      </c>
      <c r="E4" t="s">
        <v>212</v>
      </c>
      <c r="F4" t="s">
        <v>213</v>
      </c>
    </row>
    <row r="5" spans="1:6" x14ac:dyDescent="0.3">
      <c r="B5" t="s">
        <v>14</v>
      </c>
      <c r="D5" t="s">
        <v>4</v>
      </c>
    </row>
    <row r="6" spans="1:6" x14ac:dyDescent="0.3">
      <c r="B6" t="s">
        <v>15</v>
      </c>
      <c r="D6" t="s">
        <v>4</v>
      </c>
    </row>
    <row r="7" spans="1:6" x14ac:dyDescent="0.3">
      <c r="B7" t="s">
        <v>8</v>
      </c>
      <c r="C7" t="s">
        <v>11</v>
      </c>
      <c r="D7" t="s">
        <v>5</v>
      </c>
      <c r="E7" t="s">
        <v>16</v>
      </c>
      <c r="F7" t="s">
        <v>44</v>
      </c>
    </row>
    <row r="8" spans="1:6" x14ac:dyDescent="0.3">
      <c r="B8" t="s">
        <v>91</v>
      </c>
      <c r="C8" t="s">
        <v>11</v>
      </c>
      <c r="D8" t="s">
        <v>5</v>
      </c>
      <c r="E8" t="s">
        <v>93</v>
      </c>
      <c r="F8" t="s">
        <v>93</v>
      </c>
    </row>
    <row r="9" spans="1:6" x14ac:dyDescent="0.3">
      <c r="B9" t="s">
        <v>176</v>
      </c>
      <c r="D9" t="s">
        <v>4</v>
      </c>
    </row>
    <row r="10" spans="1:6" x14ac:dyDescent="0.3">
      <c r="B10" t="s">
        <v>113</v>
      </c>
      <c r="C10" t="s">
        <v>11</v>
      </c>
      <c r="D10" t="s">
        <v>5</v>
      </c>
      <c r="E10" t="s">
        <v>114</v>
      </c>
      <c r="F10" t="s">
        <v>117</v>
      </c>
    </row>
    <row r="11" spans="1:6" x14ac:dyDescent="0.3">
      <c r="B11" t="s">
        <v>177</v>
      </c>
      <c r="C11" t="s">
        <v>11</v>
      </c>
      <c r="D11" t="s">
        <v>42</v>
      </c>
      <c r="E11" t="s">
        <v>79</v>
      </c>
      <c r="F11" t="s">
        <v>82</v>
      </c>
    </row>
    <row r="12" spans="1:6" x14ac:dyDescent="0.3">
      <c r="B12" t="s">
        <v>110</v>
      </c>
      <c r="D12" t="s">
        <v>4</v>
      </c>
    </row>
    <row r="13" spans="1:6" x14ac:dyDescent="0.3">
      <c r="B13" t="s">
        <v>113</v>
      </c>
      <c r="D13" t="s">
        <v>4</v>
      </c>
    </row>
    <row r="14" spans="1:6" x14ac:dyDescent="0.3">
      <c r="B14" t="s">
        <v>8</v>
      </c>
      <c r="C14" t="s">
        <v>11</v>
      </c>
      <c r="D14" t="s">
        <v>43</v>
      </c>
      <c r="E14" t="s">
        <v>114</v>
      </c>
      <c r="F14" t="s">
        <v>117</v>
      </c>
    </row>
    <row r="15" spans="1:6" x14ac:dyDescent="0.3">
      <c r="B15" t="s">
        <v>56</v>
      </c>
      <c r="D15" t="s">
        <v>4</v>
      </c>
    </row>
    <row r="16" spans="1:6" x14ac:dyDescent="0.3">
      <c r="B16" t="s">
        <v>58</v>
      </c>
      <c r="C16" t="s">
        <v>11</v>
      </c>
      <c r="D16" t="s">
        <v>42</v>
      </c>
      <c r="E16" t="s">
        <v>79</v>
      </c>
      <c r="F16" t="s">
        <v>82</v>
      </c>
    </row>
    <row r="17" spans="2:6" x14ac:dyDescent="0.3">
      <c r="B17" t="s">
        <v>57</v>
      </c>
      <c r="D17" t="s">
        <v>4</v>
      </c>
    </row>
    <row r="18" spans="2:6" x14ac:dyDescent="0.3">
      <c r="B18" t="s">
        <v>59</v>
      </c>
      <c r="C18" t="s">
        <v>11</v>
      </c>
      <c r="D18" t="s">
        <v>43</v>
      </c>
      <c r="E18" t="s">
        <v>77</v>
      </c>
      <c r="F18" t="s">
        <v>78</v>
      </c>
    </row>
    <row r="19" spans="2:6" x14ac:dyDescent="0.3">
      <c r="B19" t="s">
        <v>17</v>
      </c>
      <c r="D19" t="s">
        <v>4</v>
      </c>
    </row>
    <row r="20" spans="2:6" x14ac:dyDescent="0.3">
      <c r="B20" t="s">
        <v>8</v>
      </c>
      <c r="C20" t="s">
        <v>11</v>
      </c>
      <c r="D20" t="s">
        <v>5</v>
      </c>
      <c r="E20" t="s">
        <v>18</v>
      </c>
      <c r="F20" t="s">
        <v>45</v>
      </c>
    </row>
    <row r="21" spans="2:6" x14ac:dyDescent="0.3">
      <c r="B21" t="s">
        <v>91</v>
      </c>
      <c r="C21" t="s">
        <v>11</v>
      </c>
      <c r="D21" t="s">
        <v>5</v>
      </c>
      <c r="E21" t="s">
        <v>92</v>
      </c>
      <c r="F21" t="s">
        <v>92</v>
      </c>
    </row>
    <row r="22" spans="2:6" x14ac:dyDescent="0.3">
      <c r="B22" t="s">
        <v>21</v>
      </c>
      <c r="D22" t="s">
        <v>4</v>
      </c>
    </row>
    <row r="23" spans="2:6" x14ac:dyDescent="0.3">
      <c r="B23" t="s">
        <v>97</v>
      </c>
      <c r="D23" t="s">
        <v>4</v>
      </c>
    </row>
    <row r="24" spans="2:6" x14ac:dyDescent="0.3">
      <c r="B24" t="s">
        <v>8</v>
      </c>
      <c r="C24" t="s">
        <v>11</v>
      </c>
      <c r="D24" t="s">
        <v>5</v>
      </c>
      <c r="E24" t="s">
        <v>104</v>
      </c>
      <c r="F24" t="s">
        <v>105</v>
      </c>
    </row>
    <row r="25" spans="2:6" x14ac:dyDescent="0.3">
      <c r="B25" t="s">
        <v>103</v>
      </c>
      <c r="D25" t="s">
        <v>5</v>
      </c>
      <c r="E25">
        <v>10</v>
      </c>
      <c r="F25">
        <f>E25</f>
        <v>10</v>
      </c>
    </row>
    <row r="26" spans="2:6" x14ac:dyDescent="0.3">
      <c r="B26" t="s">
        <v>118</v>
      </c>
      <c r="D26" t="s">
        <v>5</v>
      </c>
      <c r="E26" s="1" t="s">
        <v>120</v>
      </c>
      <c r="F26" t="str">
        <f t="shared" ref="F26:F27" si="0">E26</f>
        <v>-Infinity</v>
      </c>
    </row>
    <row r="27" spans="2:6" x14ac:dyDescent="0.3">
      <c r="B27" t="s">
        <v>119</v>
      </c>
      <c r="D27" t="s">
        <v>42</v>
      </c>
      <c r="E27" t="s">
        <v>121</v>
      </c>
      <c r="F27" t="str">
        <f t="shared" si="0"/>
        <v>Infinity</v>
      </c>
    </row>
    <row r="28" spans="2:6" x14ac:dyDescent="0.3">
      <c r="B28" t="s">
        <v>98</v>
      </c>
      <c r="D28" t="s">
        <v>4</v>
      </c>
    </row>
    <row r="29" spans="2:6" x14ac:dyDescent="0.3">
      <c r="B29" t="s">
        <v>8</v>
      </c>
      <c r="C29" t="s">
        <v>11</v>
      </c>
      <c r="D29" t="s">
        <v>5</v>
      </c>
      <c r="E29" t="s">
        <v>106</v>
      </c>
      <c r="F29" t="s">
        <v>107</v>
      </c>
    </row>
    <row r="30" spans="2:6" x14ac:dyDescent="0.3">
      <c r="B30" t="s">
        <v>103</v>
      </c>
      <c r="D30" t="s">
        <v>5</v>
      </c>
      <c r="E30">
        <v>1</v>
      </c>
      <c r="F30">
        <f>E30</f>
        <v>1</v>
      </c>
    </row>
    <row r="31" spans="2:6" x14ac:dyDescent="0.3">
      <c r="B31" t="s">
        <v>118</v>
      </c>
      <c r="D31" t="s">
        <v>5</v>
      </c>
      <c r="E31" s="1" t="s">
        <v>120</v>
      </c>
      <c r="F31" t="str">
        <f t="shared" ref="F31:F32" si="1">E31</f>
        <v>-Infinity</v>
      </c>
    </row>
    <row r="32" spans="2:6" x14ac:dyDescent="0.3">
      <c r="B32" t="s">
        <v>119</v>
      </c>
      <c r="D32" t="s">
        <v>42</v>
      </c>
      <c r="E32" t="s">
        <v>121</v>
      </c>
      <c r="F32" t="str">
        <f t="shared" si="1"/>
        <v>Infinity</v>
      </c>
    </row>
    <row r="33" spans="2:6" x14ac:dyDescent="0.3">
      <c r="B33" t="s">
        <v>99</v>
      </c>
      <c r="D33" t="s">
        <v>4</v>
      </c>
    </row>
    <row r="34" spans="2:6" x14ac:dyDescent="0.3">
      <c r="B34" t="s">
        <v>8</v>
      </c>
      <c r="C34" t="s">
        <v>11</v>
      </c>
      <c r="D34" t="s">
        <v>5</v>
      </c>
      <c r="E34" t="s">
        <v>108</v>
      </c>
      <c r="F34" t="s">
        <v>109</v>
      </c>
    </row>
    <row r="35" spans="2:6" x14ac:dyDescent="0.3">
      <c r="B35" t="s">
        <v>103</v>
      </c>
      <c r="D35" t="s">
        <v>5</v>
      </c>
      <c r="E35">
        <v>0</v>
      </c>
      <c r="F35">
        <f>E35</f>
        <v>0</v>
      </c>
    </row>
    <row r="36" spans="2:6" x14ac:dyDescent="0.3">
      <c r="B36" t="s">
        <v>118</v>
      </c>
      <c r="D36" t="s">
        <v>5</v>
      </c>
      <c r="E36" s="1" t="s">
        <v>120</v>
      </c>
      <c r="F36" t="str">
        <f t="shared" ref="F36:F37" si="2">E36</f>
        <v>-Infinity</v>
      </c>
    </row>
    <row r="37" spans="2:6" x14ac:dyDescent="0.3">
      <c r="B37" t="s">
        <v>119</v>
      </c>
      <c r="D37" t="s">
        <v>43</v>
      </c>
      <c r="E37" t="s">
        <v>121</v>
      </c>
      <c r="F37" t="str">
        <f t="shared" si="2"/>
        <v>Infinity</v>
      </c>
    </row>
    <row r="38" spans="2:6" x14ac:dyDescent="0.3">
      <c r="B38" t="s">
        <v>176</v>
      </c>
      <c r="D38" t="s">
        <v>4</v>
      </c>
    </row>
    <row r="39" spans="2:6" x14ac:dyDescent="0.3">
      <c r="B39" t="s">
        <v>179</v>
      </c>
      <c r="C39" t="s">
        <v>11</v>
      </c>
      <c r="D39" t="s">
        <v>5</v>
      </c>
      <c r="E39" t="s">
        <v>115</v>
      </c>
      <c r="F39" t="s">
        <v>116</v>
      </c>
    </row>
    <row r="40" spans="2:6" x14ac:dyDescent="0.3">
      <c r="B40" t="s">
        <v>177</v>
      </c>
      <c r="C40" t="s">
        <v>11</v>
      </c>
      <c r="D40" t="s">
        <v>5</v>
      </c>
      <c r="E40" t="s">
        <v>79</v>
      </c>
      <c r="F40" t="s">
        <v>82</v>
      </c>
    </row>
    <row r="41" spans="2:6" x14ac:dyDescent="0.3">
      <c r="B41" t="s">
        <v>178</v>
      </c>
      <c r="C41" t="s">
        <v>11</v>
      </c>
      <c r="D41" t="s">
        <v>5</v>
      </c>
      <c r="E41" t="s">
        <v>180</v>
      </c>
      <c r="F41" t="s">
        <v>180</v>
      </c>
    </row>
    <row r="42" spans="2:6" x14ac:dyDescent="0.3">
      <c r="B42" t="s">
        <v>113</v>
      </c>
      <c r="C42" t="s">
        <v>11</v>
      </c>
      <c r="D42" t="s">
        <v>42</v>
      </c>
      <c r="E42" t="s">
        <v>80</v>
      </c>
      <c r="F42" t="s">
        <v>81</v>
      </c>
    </row>
    <row r="43" spans="2:6" x14ac:dyDescent="0.3">
      <c r="B43" t="s">
        <v>110</v>
      </c>
      <c r="D43" t="s">
        <v>4</v>
      </c>
    </row>
    <row r="44" spans="2:6" x14ac:dyDescent="0.3">
      <c r="B44" t="s">
        <v>113</v>
      </c>
      <c r="D44" t="s">
        <v>4</v>
      </c>
    </row>
    <row r="45" spans="2:6" x14ac:dyDescent="0.3">
      <c r="B45" t="s">
        <v>8</v>
      </c>
      <c r="C45" t="s">
        <v>11</v>
      </c>
      <c r="D45" t="s">
        <v>43</v>
      </c>
      <c r="E45" t="s">
        <v>115</v>
      </c>
      <c r="F45" t="s">
        <v>116</v>
      </c>
    </row>
    <row r="46" spans="2:6" x14ac:dyDescent="0.3">
      <c r="B46" t="s">
        <v>56</v>
      </c>
      <c r="D46" t="s">
        <v>4</v>
      </c>
    </row>
    <row r="47" spans="2:6" x14ac:dyDescent="0.3">
      <c r="B47" t="s">
        <v>58</v>
      </c>
      <c r="C47" t="s">
        <v>11</v>
      </c>
      <c r="D47" t="s">
        <v>42</v>
      </c>
      <c r="E47" t="s">
        <v>79</v>
      </c>
      <c r="F47" t="s">
        <v>82</v>
      </c>
    </row>
    <row r="48" spans="2:6" x14ac:dyDescent="0.3">
      <c r="B48" t="s">
        <v>57</v>
      </c>
      <c r="D48" t="s">
        <v>4</v>
      </c>
    </row>
    <row r="49" spans="2:6" x14ac:dyDescent="0.3">
      <c r="B49" t="s">
        <v>59</v>
      </c>
      <c r="C49" t="s">
        <v>11</v>
      </c>
      <c r="D49" t="s">
        <v>60</v>
      </c>
      <c r="E49" t="s">
        <v>80</v>
      </c>
      <c r="F49" t="s">
        <v>81</v>
      </c>
    </row>
    <row r="50" spans="2:6" x14ac:dyDescent="0.3">
      <c r="B50" t="s">
        <v>19</v>
      </c>
      <c r="D50" t="s">
        <v>4</v>
      </c>
    </row>
    <row r="51" spans="2:6" x14ac:dyDescent="0.3">
      <c r="B51" t="s">
        <v>90</v>
      </c>
      <c r="C51" t="s">
        <v>11</v>
      </c>
      <c r="D51" t="s">
        <v>5</v>
      </c>
      <c r="E51" t="s">
        <v>88</v>
      </c>
      <c r="F51" t="s">
        <v>89</v>
      </c>
    </row>
    <row r="52" spans="2:6" x14ac:dyDescent="0.3">
      <c r="B52" t="s">
        <v>20</v>
      </c>
      <c r="C52" t="s">
        <v>11</v>
      </c>
      <c r="D52" t="s">
        <v>5</v>
      </c>
      <c r="E52" t="s">
        <v>32</v>
      </c>
      <c r="F52" t="s">
        <v>46</v>
      </c>
    </row>
    <row r="53" spans="2:6" x14ac:dyDescent="0.3">
      <c r="B53" t="s">
        <v>21</v>
      </c>
      <c r="C53" t="s">
        <v>11</v>
      </c>
      <c r="D53" t="s">
        <v>5</v>
      </c>
      <c r="E53" t="s">
        <v>33</v>
      </c>
      <c r="F53" t="s">
        <v>47</v>
      </c>
    </row>
    <row r="54" spans="2:6" x14ac:dyDescent="0.3">
      <c r="B54" t="s">
        <v>110</v>
      </c>
      <c r="C54" t="s">
        <v>11</v>
      </c>
      <c r="D54" t="s">
        <v>5</v>
      </c>
      <c r="E54" t="s">
        <v>111</v>
      </c>
      <c r="F54" t="s">
        <v>112</v>
      </c>
    </row>
    <row r="55" spans="2:6" x14ac:dyDescent="0.3">
      <c r="B55" t="s">
        <v>22</v>
      </c>
      <c r="C55" t="s">
        <v>11</v>
      </c>
      <c r="D55" t="s">
        <v>5</v>
      </c>
      <c r="E55" t="s">
        <v>34</v>
      </c>
      <c r="F55" t="s">
        <v>48</v>
      </c>
    </row>
    <row r="56" spans="2:6" x14ac:dyDescent="0.3">
      <c r="B56" t="s">
        <v>146</v>
      </c>
      <c r="C56" t="s">
        <v>11</v>
      </c>
      <c r="D56" t="s">
        <v>42</v>
      </c>
      <c r="E56" t="s">
        <v>147</v>
      </c>
      <c r="F56" t="s">
        <v>148</v>
      </c>
    </row>
    <row r="57" spans="2:6" x14ac:dyDescent="0.3">
      <c r="B57" t="s">
        <v>23</v>
      </c>
      <c r="D57" t="s">
        <v>4</v>
      </c>
    </row>
    <row r="58" spans="2:6" x14ac:dyDescent="0.3">
      <c r="B58" t="s">
        <v>24</v>
      </c>
      <c r="C58" t="s">
        <v>11</v>
      </c>
      <c r="D58" t="s">
        <v>5</v>
      </c>
      <c r="E58" t="s">
        <v>35</v>
      </c>
      <c r="F58" t="s">
        <v>49</v>
      </c>
    </row>
    <row r="59" spans="2:6" x14ac:dyDescent="0.3">
      <c r="B59" t="s">
        <v>25</v>
      </c>
      <c r="D59" t="s">
        <v>4</v>
      </c>
    </row>
    <row r="60" spans="2:6" x14ac:dyDescent="0.3">
      <c r="B60" t="s">
        <v>26</v>
      </c>
      <c r="C60" t="s">
        <v>11</v>
      </c>
      <c r="D60" t="s">
        <v>5</v>
      </c>
      <c r="E60" t="s">
        <v>36</v>
      </c>
      <c r="F60" t="s">
        <v>50</v>
      </c>
    </row>
    <row r="61" spans="2:6" x14ac:dyDescent="0.3">
      <c r="B61" t="s">
        <v>27</v>
      </c>
      <c r="C61" t="s">
        <v>11</v>
      </c>
      <c r="D61" t="s">
        <v>5</v>
      </c>
      <c r="E61" t="s">
        <v>37</v>
      </c>
      <c r="F61" t="s">
        <v>51</v>
      </c>
    </row>
    <row r="62" spans="2:6" x14ac:dyDescent="0.3">
      <c r="B62" t="s">
        <v>28</v>
      </c>
      <c r="C62" t="s">
        <v>11</v>
      </c>
      <c r="D62" t="s">
        <v>5</v>
      </c>
      <c r="E62" t="s">
        <v>38</v>
      </c>
      <c r="F62" t="s">
        <v>52</v>
      </c>
    </row>
    <row r="63" spans="2:6" x14ac:dyDescent="0.3">
      <c r="B63" t="s">
        <v>29</v>
      </c>
      <c r="C63" t="s">
        <v>11</v>
      </c>
      <c r="D63" t="s">
        <v>5</v>
      </c>
      <c r="E63" t="s">
        <v>39</v>
      </c>
      <c r="F63" t="s">
        <v>53</v>
      </c>
    </row>
    <row r="64" spans="2:6" x14ac:dyDescent="0.3">
      <c r="B64" t="s">
        <v>30</v>
      </c>
      <c r="C64" t="s">
        <v>11</v>
      </c>
      <c r="D64" t="s">
        <v>5</v>
      </c>
      <c r="E64" t="s">
        <v>40</v>
      </c>
      <c r="F64" t="s">
        <v>54</v>
      </c>
    </row>
    <row r="65" spans="2:6" x14ac:dyDescent="0.3">
      <c r="B65" t="s">
        <v>31</v>
      </c>
      <c r="C65" t="s">
        <v>11</v>
      </c>
      <c r="D65" t="s">
        <v>42</v>
      </c>
      <c r="E65" t="s">
        <v>41</v>
      </c>
      <c r="F65" t="s">
        <v>55</v>
      </c>
    </row>
    <row r="66" spans="2:6" x14ac:dyDescent="0.3">
      <c r="B66" t="s">
        <v>61</v>
      </c>
      <c r="C66" t="s">
        <v>11</v>
      </c>
      <c r="D66" t="s">
        <v>5</v>
      </c>
      <c r="E66" t="s">
        <v>62</v>
      </c>
      <c r="F66" t="s">
        <v>63</v>
      </c>
    </row>
    <row r="67" spans="2:6" x14ac:dyDescent="0.3">
      <c r="B67" t="s">
        <v>64</v>
      </c>
      <c r="D67" t="s">
        <v>4</v>
      </c>
    </row>
    <row r="68" spans="2:6" x14ac:dyDescent="0.3">
      <c r="B68" t="s">
        <v>65</v>
      </c>
      <c r="C68" t="s">
        <v>11</v>
      </c>
      <c r="D68" t="s">
        <v>5</v>
      </c>
      <c r="E68" t="s">
        <v>70</v>
      </c>
      <c r="F68" t="s">
        <v>73</v>
      </c>
    </row>
    <row r="69" spans="2:6" x14ac:dyDescent="0.3">
      <c r="B69" t="s">
        <v>66</v>
      </c>
      <c r="C69" t="s">
        <v>11</v>
      </c>
      <c r="D69" t="s">
        <v>5</v>
      </c>
      <c r="E69" t="s">
        <v>69</v>
      </c>
      <c r="F69" t="s">
        <v>74</v>
      </c>
    </row>
    <row r="70" spans="2:6" x14ac:dyDescent="0.3">
      <c r="B70" t="s">
        <v>67</v>
      </c>
      <c r="C70" t="s">
        <v>11</v>
      </c>
      <c r="D70" t="s">
        <v>5</v>
      </c>
      <c r="E70" t="s">
        <v>71</v>
      </c>
      <c r="F70" t="s">
        <v>75</v>
      </c>
    </row>
    <row r="71" spans="2:6" x14ac:dyDescent="0.3">
      <c r="B71" t="s">
        <v>68</v>
      </c>
      <c r="C71" t="s">
        <v>11</v>
      </c>
      <c r="D71" t="s">
        <v>43</v>
      </c>
      <c r="E71" t="s">
        <v>72</v>
      </c>
      <c r="F71" t="s">
        <v>76</v>
      </c>
    </row>
    <row r="72" spans="2:6" x14ac:dyDescent="0.3">
      <c r="B72" t="s">
        <v>83</v>
      </c>
      <c r="C72" t="s">
        <v>11</v>
      </c>
      <c r="D72" t="s">
        <v>5</v>
      </c>
      <c r="E72" t="s">
        <v>84</v>
      </c>
      <c r="F72" t="s">
        <v>84</v>
      </c>
    </row>
    <row r="73" spans="2:6" x14ac:dyDescent="0.3">
      <c r="B73" t="s">
        <v>85</v>
      </c>
      <c r="C73" t="s">
        <v>11</v>
      </c>
      <c r="D73" t="s">
        <v>5</v>
      </c>
      <c r="E73" t="s">
        <v>86</v>
      </c>
      <c r="F73" t="s">
        <v>87</v>
      </c>
    </row>
    <row r="74" spans="2:6" x14ac:dyDescent="0.3">
      <c r="B74" t="s">
        <v>94</v>
      </c>
      <c r="C74" t="s">
        <v>11</v>
      </c>
      <c r="D74" t="s">
        <v>5</v>
      </c>
      <c r="E74" t="s">
        <v>95</v>
      </c>
      <c r="F74" t="s">
        <v>96</v>
      </c>
    </row>
    <row r="75" spans="2:6" x14ac:dyDescent="0.3">
      <c r="B75" t="s">
        <v>100</v>
      </c>
      <c r="C75" t="s">
        <v>11</v>
      </c>
      <c r="D75" t="s">
        <v>5</v>
      </c>
      <c r="E75" t="s">
        <v>101</v>
      </c>
      <c r="F75" t="s">
        <v>102</v>
      </c>
    </row>
    <row r="76" spans="2:6" x14ac:dyDescent="0.3">
      <c r="B76" t="s">
        <v>110</v>
      </c>
      <c r="D76" t="s">
        <v>4</v>
      </c>
    </row>
    <row r="77" spans="2:6" x14ac:dyDescent="0.3">
      <c r="B77" t="s">
        <v>21</v>
      </c>
      <c r="D77" t="s">
        <v>4</v>
      </c>
    </row>
    <row r="78" spans="2:6" x14ac:dyDescent="0.3">
      <c r="B78" t="s">
        <v>122</v>
      </c>
      <c r="D78" t="s">
        <v>4</v>
      </c>
    </row>
    <row r="79" spans="2:6" x14ac:dyDescent="0.3">
      <c r="B79" t="s">
        <v>8</v>
      </c>
      <c r="C79" t="s">
        <v>11</v>
      </c>
      <c r="D79" t="s">
        <v>5</v>
      </c>
      <c r="E79" t="s">
        <v>123</v>
      </c>
      <c r="F79" t="s">
        <v>123</v>
      </c>
    </row>
    <row r="80" spans="2:6" x14ac:dyDescent="0.3">
      <c r="B80" t="s">
        <v>171</v>
      </c>
      <c r="D80" t="s">
        <v>5</v>
      </c>
      <c r="E80">
        <v>1</v>
      </c>
      <c r="F80">
        <f>E80</f>
        <v>1</v>
      </c>
    </row>
    <row r="81" spans="2:6" x14ac:dyDescent="0.3">
      <c r="B81" t="s">
        <v>118</v>
      </c>
      <c r="D81" t="s">
        <v>5</v>
      </c>
      <c r="E81">
        <v>0</v>
      </c>
      <c r="F81">
        <f t="shared" ref="F81:F82" si="3">E81</f>
        <v>0</v>
      </c>
    </row>
    <row r="82" spans="2:6" x14ac:dyDescent="0.3">
      <c r="B82" t="s">
        <v>119</v>
      </c>
      <c r="D82" t="s">
        <v>42</v>
      </c>
      <c r="E82" t="s">
        <v>121</v>
      </c>
      <c r="F82" t="str">
        <f t="shared" si="3"/>
        <v>Infinity</v>
      </c>
    </row>
    <row r="83" spans="2:6" x14ac:dyDescent="0.3">
      <c r="B83" t="s">
        <v>124</v>
      </c>
      <c r="D83" t="s">
        <v>4</v>
      </c>
    </row>
    <row r="84" spans="2:6" x14ac:dyDescent="0.3">
      <c r="B84" t="s">
        <v>8</v>
      </c>
      <c r="C84" t="s">
        <v>11</v>
      </c>
      <c r="D84" t="s">
        <v>5</v>
      </c>
      <c r="E84" t="s">
        <v>125</v>
      </c>
      <c r="F84" t="s">
        <v>125</v>
      </c>
    </row>
    <row r="85" spans="2:6" x14ac:dyDescent="0.3">
      <c r="B85" t="s">
        <v>171</v>
      </c>
      <c r="D85" t="s">
        <v>5</v>
      </c>
      <c r="E85">
        <v>1</v>
      </c>
      <c r="F85">
        <f>E85</f>
        <v>1</v>
      </c>
    </row>
    <row r="86" spans="2:6" x14ac:dyDescent="0.3">
      <c r="B86" t="s">
        <v>118</v>
      </c>
      <c r="D86" t="s">
        <v>5</v>
      </c>
      <c r="E86">
        <v>0</v>
      </c>
      <c r="F86">
        <f t="shared" ref="F86:F87" si="4">E86</f>
        <v>0</v>
      </c>
    </row>
    <row r="87" spans="2:6" x14ac:dyDescent="0.3">
      <c r="B87" t="s">
        <v>119</v>
      </c>
      <c r="D87" t="s">
        <v>42</v>
      </c>
      <c r="E87" t="s">
        <v>121</v>
      </c>
      <c r="F87" t="str">
        <f t="shared" si="4"/>
        <v>Infinity</v>
      </c>
    </row>
    <row r="88" spans="2:6" x14ac:dyDescent="0.3">
      <c r="B88" t="s">
        <v>126</v>
      </c>
      <c r="D88" t="s">
        <v>4</v>
      </c>
    </row>
    <row r="89" spans="2:6" x14ac:dyDescent="0.3">
      <c r="B89" t="s">
        <v>8</v>
      </c>
      <c r="C89" t="s">
        <v>11</v>
      </c>
      <c r="D89" t="s">
        <v>5</v>
      </c>
      <c r="E89" t="s">
        <v>127</v>
      </c>
      <c r="F89" t="s">
        <v>127</v>
      </c>
    </row>
    <row r="90" spans="2:6" x14ac:dyDescent="0.3">
      <c r="B90" t="s">
        <v>171</v>
      </c>
      <c r="D90" t="s">
        <v>5</v>
      </c>
      <c r="E90">
        <v>50</v>
      </c>
      <c r="F90">
        <f>E90</f>
        <v>50</v>
      </c>
    </row>
    <row r="91" spans="2:6" x14ac:dyDescent="0.3">
      <c r="B91" t="s">
        <v>118</v>
      </c>
      <c r="D91" t="s">
        <v>5</v>
      </c>
      <c r="E91">
        <v>0</v>
      </c>
      <c r="F91">
        <f t="shared" ref="F91:F92" si="5">E91</f>
        <v>0</v>
      </c>
    </row>
    <row r="92" spans="2:6" x14ac:dyDescent="0.3">
      <c r="B92" t="s">
        <v>119</v>
      </c>
      <c r="D92" t="s">
        <v>42</v>
      </c>
      <c r="E92">
        <v>100</v>
      </c>
      <c r="F92">
        <f t="shared" si="5"/>
        <v>100</v>
      </c>
    </row>
    <row r="93" spans="2:6" x14ac:dyDescent="0.3">
      <c r="B93" t="s">
        <v>168</v>
      </c>
      <c r="D93" t="s">
        <v>4</v>
      </c>
    </row>
    <row r="94" spans="2:6" x14ac:dyDescent="0.3">
      <c r="B94" t="s">
        <v>8</v>
      </c>
      <c r="C94" t="s">
        <v>11</v>
      </c>
      <c r="D94" t="s">
        <v>5</v>
      </c>
      <c r="E94" t="s">
        <v>169</v>
      </c>
      <c r="F94" t="s">
        <v>170</v>
      </c>
    </row>
    <row r="95" spans="2:6" x14ac:dyDescent="0.3">
      <c r="B95" t="s">
        <v>171</v>
      </c>
      <c r="D95" t="s">
        <v>5</v>
      </c>
      <c r="E95">
        <v>0</v>
      </c>
      <c r="F95">
        <v>0</v>
      </c>
    </row>
    <row r="96" spans="2:6" x14ac:dyDescent="0.3">
      <c r="B96" t="s">
        <v>118</v>
      </c>
      <c r="D96" t="s">
        <v>5</v>
      </c>
      <c r="E96">
        <v>-360</v>
      </c>
      <c r="F96">
        <f t="shared" ref="F96:F97" si="6">E96</f>
        <v>-360</v>
      </c>
    </row>
    <row r="97" spans="2:6" x14ac:dyDescent="0.3">
      <c r="B97" t="s">
        <v>119</v>
      </c>
      <c r="D97" t="s">
        <v>42</v>
      </c>
      <c r="E97">
        <v>360</v>
      </c>
      <c r="F97">
        <f t="shared" si="6"/>
        <v>360</v>
      </c>
    </row>
    <row r="98" spans="2:6" x14ac:dyDescent="0.3">
      <c r="B98" t="s">
        <v>83</v>
      </c>
      <c r="D98" t="s">
        <v>4</v>
      </c>
    </row>
    <row r="99" spans="2:6" x14ac:dyDescent="0.3">
      <c r="B99" t="s">
        <v>8</v>
      </c>
      <c r="C99" t="s">
        <v>11</v>
      </c>
      <c r="D99" t="s">
        <v>5</v>
      </c>
      <c r="E99" t="s">
        <v>84</v>
      </c>
      <c r="F99" t="s">
        <v>84</v>
      </c>
    </row>
    <row r="100" spans="2:6" x14ac:dyDescent="0.3">
      <c r="B100" t="s">
        <v>171</v>
      </c>
      <c r="D100" t="s">
        <v>5</v>
      </c>
      <c r="E100">
        <v>0</v>
      </c>
      <c r="F100">
        <f>E100</f>
        <v>0</v>
      </c>
    </row>
    <row r="101" spans="2:6" x14ac:dyDescent="0.3">
      <c r="B101" t="s">
        <v>118</v>
      </c>
      <c r="D101" t="s">
        <v>5</v>
      </c>
      <c r="E101" s="1" t="s">
        <v>120</v>
      </c>
      <c r="F101" t="str">
        <f t="shared" ref="F101:F102" si="7">E101</f>
        <v>-Infinity</v>
      </c>
    </row>
    <row r="102" spans="2:6" x14ac:dyDescent="0.3">
      <c r="B102" t="s">
        <v>119</v>
      </c>
      <c r="D102" t="s">
        <v>42</v>
      </c>
      <c r="E102" t="s">
        <v>121</v>
      </c>
      <c r="F102" t="str">
        <f t="shared" si="7"/>
        <v>Infinity</v>
      </c>
    </row>
    <row r="103" spans="2:6" x14ac:dyDescent="0.3">
      <c r="B103" t="s">
        <v>128</v>
      </c>
      <c r="D103" t="s">
        <v>4</v>
      </c>
    </row>
    <row r="104" spans="2:6" x14ac:dyDescent="0.3">
      <c r="B104" t="s">
        <v>8</v>
      </c>
      <c r="C104" t="s">
        <v>11</v>
      </c>
      <c r="D104" t="s">
        <v>5</v>
      </c>
      <c r="E104" t="s">
        <v>129</v>
      </c>
      <c r="F104" t="s">
        <v>129</v>
      </c>
    </row>
    <row r="105" spans="2:6" x14ac:dyDescent="0.3">
      <c r="B105" t="s">
        <v>171</v>
      </c>
      <c r="D105" t="s">
        <v>5</v>
      </c>
      <c r="E105">
        <v>0</v>
      </c>
      <c r="F105">
        <f>E105</f>
        <v>0</v>
      </c>
    </row>
    <row r="106" spans="2:6" x14ac:dyDescent="0.3">
      <c r="B106" t="s">
        <v>118</v>
      </c>
      <c r="D106" t="s">
        <v>5</v>
      </c>
      <c r="E106" s="1">
        <v>0</v>
      </c>
      <c r="F106">
        <f t="shared" ref="F106:F107" si="8">E106</f>
        <v>0</v>
      </c>
    </row>
    <row r="107" spans="2:6" x14ac:dyDescent="0.3">
      <c r="B107" t="s">
        <v>119</v>
      </c>
      <c r="D107" t="s">
        <v>43</v>
      </c>
      <c r="E107" t="s">
        <v>121</v>
      </c>
      <c r="F107" t="str">
        <f t="shared" si="8"/>
        <v>Infinity</v>
      </c>
    </row>
    <row r="108" spans="2:6" x14ac:dyDescent="0.3">
      <c r="B108" t="s">
        <v>130</v>
      </c>
      <c r="C108" t="s">
        <v>11</v>
      </c>
      <c r="D108" t="s">
        <v>5</v>
      </c>
      <c r="E108" t="s">
        <v>131</v>
      </c>
      <c r="F108" t="s">
        <v>131</v>
      </c>
    </row>
    <row r="109" spans="2:6" x14ac:dyDescent="0.3">
      <c r="B109" t="s">
        <v>132</v>
      </c>
      <c r="D109" t="s">
        <v>4</v>
      </c>
    </row>
    <row r="110" spans="2:6" x14ac:dyDescent="0.3">
      <c r="B110" t="s">
        <v>133</v>
      </c>
      <c r="D110" t="s">
        <v>4</v>
      </c>
    </row>
    <row r="111" spans="2:6" x14ac:dyDescent="0.3">
      <c r="B111" t="s">
        <v>8</v>
      </c>
      <c r="C111" t="s">
        <v>11</v>
      </c>
      <c r="D111" t="s">
        <v>5</v>
      </c>
      <c r="E111" t="s">
        <v>134</v>
      </c>
      <c r="F111" t="s">
        <v>134</v>
      </c>
    </row>
    <row r="112" spans="2:6" x14ac:dyDescent="0.3">
      <c r="B112" t="s">
        <v>21</v>
      </c>
      <c r="D112" t="s">
        <v>42</v>
      </c>
      <c r="E112" t="s">
        <v>173</v>
      </c>
      <c r="F112" t="str">
        <f>E112</f>
        <v>['amp','offset']</v>
      </c>
    </row>
    <row r="113" spans="2:6" x14ac:dyDescent="0.3">
      <c r="B113" t="s">
        <v>135</v>
      </c>
      <c r="D113" t="s">
        <v>4</v>
      </c>
    </row>
    <row r="114" spans="2:6" x14ac:dyDescent="0.3">
      <c r="B114" t="s">
        <v>8</v>
      </c>
      <c r="C114" t="s">
        <v>11</v>
      </c>
      <c r="D114" t="s">
        <v>5</v>
      </c>
      <c r="E114" t="s">
        <v>136</v>
      </c>
      <c r="F114" t="s">
        <v>136</v>
      </c>
    </row>
    <row r="115" spans="2:6" x14ac:dyDescent="0.3">
      <c r="B115" t="s">
        <v>21</v>
      </c>
      <c r="D115" t="s">
        <v>42</v>
      </c>
      <c r="E115" t="s">
        <v>172</v>
      </c>
      <c r="F115" t="str">
        <f>E115</f>
        <v>['amp','freq','phase','offset']</v>
      </c>
    </row>
    <row r="116" spans="2:6" x14ac:dyDescent="0.3">
      <c r="B116" t="s">
        <v>137</v>
      </c>
      <c r="D116" t="s">
        <v>4</v>
      </c>
    </row>
    <row r="117" spans="2:6" x14ac:dyDescent="0.3">
      <c r="B117" t="s">
        <v>8</v>
      </c>
      <c r="C117" t="s">
        <v>11</v>
      </c>
      <c r="D117" t="s">
        <v>5</v>
      </c>
      <c r="E117" t="s">
        <v>138</v>
      </c>
      <c r="F117" t="s">
        <v>138</v>
      </c>
    </row>
    <row r="118" spans="2:6" x14ac:dyDescent="0.3">
      <c r="B118" t="s">
        <v>21</v>
      </c>
      <c r="D118" t="s">
        <v>42</v>
      </c>
      <c r="E118" t="s">
        <v>174</v>
      </c>
      <c r="F118" t="str">
        <f>E118</f>
        <v>['amp','freq', 'phase','offset']</v>
      </c>
    </row>
    <row r="119" spans="2:6" x14ac:dyDescent="0.3">
      <c r="B119" t="s">
        <v>141</v>
      </c>
      <c r="D119" t="s">
        <v>4</v>
      </c>
    </row>
    <row r="120" spans="2:6" x14ac:dyDescent="0.3">
      <c r="B120" t="s">
        <v>8</v>
      </c>
      <c r="C120" t="s">
        <v>11</v>
      </c>
      <c r="D120" t="s">
        <v>5</v>
      </c>
      <c r="E120" t="s">
        <v>142</v>
      </c>
      <c r="F120" t="s">
        <v>142</v>
      </c>
    </row>
    <row r="121" spans="2:6" x14ac:dyDescent="0.3">
      <c r="B121" t="s">
        <v>21</v>
      </c>
      <c r="D121" t="s">
        <v>42</v>
      </c>
      <c r="E121" t="s">
        <v>174</v>
      </c>
      <c r="F121" t="str">
        <f>E121</f>
        <v>['amp','freq', 'phase','offset']</v>
      </c>
    </row>
    <row r="122" spans="2:6" x14ac:dyDescent="0.3">
      <c r="B122" t="s">
        <v>139</v>
      </c>
      <c r="D122" t="s">
        <v>4</v>
      </c>
    </row>
    <row r="123" spans="2:6" x14ac:dyDescent="0.3">
      <c r="B123" t="s">
        <v>8</v>
      </c>
      <c r="C123" t="s">
        <v>11</v>
      </c>
      <c r="D123" t="s">
        <v>5</v>
      </c>
      <c r="E123" t="s">
        <v>140</v>
      </c>
      <c r="F123" t="s">
        <v>140</v>
      </c>
    </row>
    <row r="124" spans="2:6" x14ac:dyDescent="0.3">
      <c r="B124" t="s">
        <v>21</v>
      </c>
      <c r="D124" t="s">
        <v>43</v>
      </c>
      <c r="E124" t="s">
        <v>175</v>
      </c>
      <c r="F124" t="str">
        <f>E124</f>
        <v>['amp','freq','phase','duty','offset']</v>
      </c>
    </row>
    <row r="125" spans="2:6" x14ac:dyDescent="0.3">
      <c r="B125" t="s">
        <v>143</v>
      </c>
      <c r="C125" t="s">
        <v>11</v>
      </c>
      <c r="D125" t="s">
        <v>42</v>
      </c>
      <c r="E125" t="s">
        <v>144</v>
      </c>
      <c r="F125" t="s">
        <v>144</v>
      </c>
    </row>
    <row r="126" spans="2:6" x14ac:dyDescent="0.3">
      <c r="B126" t="s">
        <v>146</v>
      </c>
      <c r="D126" t="s">
        <v>4</v>
      </c>
    </row>
    <row r="127" spans="2:6" x14ac:dyDescent="0.3">
      <c r="B127" t="s">
        <v>159</v>
      </c>
      <c r="C127" t="s">
        <v>11</v>
      </c>
      <c r="D127" t="s">
        <v>5</v>
      </c>
      <c r="E127" t="s">
        <v>160</v>
      </c>
      <c r="F127" t="s">
        <v>161</v>
      </c>
    </row>
    <row r="128" spans="2:6" x14ac:dyDescent="0.3">
      <c r="B128" t="s">
        <v>158</v>
      </c>
      <c r="C128" t="s">
        <v>11</v>
      </c>
      <c r="D128" t="s">
        <v>5</v>
      </c>
      <c r="E128" t="s">
        <v>166</v>
      </c>
      <c r="F128" t="s">
        <v>167</v>
      </c>
    </row>
    <row r="129" spans="2:6" x14ac:dyDescent="0.3">
      <c r="B129" t="s">
        <v>151</v>
      </c>
      <c r="C129" t="s">
        <v>11</v>
      </c>
      <c r="D129" t="s">
        <v>5</v>
      </c>
      <c r="E129" t="s">
        <v>149</v>
      </c>
      <c r="F129" t="s">
        <v>150</v>
      </c>
    </row>
    <row r="130" spans="2:6" x14ac:dyDescent="0.3">
      <c r="B130" t="s">
        <v>152</v>
      </c>
      <c r="C130" t="s">
        <v>11</v>
      </c>
      <c r="D130" t="s">
        <v>5</v>
      </c>
      <c r="E130" t="s">
        <v>154</v>
      </c>
      <c r="F130" t="s">
        <v>153</v>
      </c>
    </row>
    <row r="131" spans="2:6" x14ac:dyDescent="0.3">
      <c r="B131" t="s">
        <v>155</v>
      </c>
      <c r="C131" t="s">
        <v>11</v>
      </c>
      <c r="D131" t="s">
        <v>5</v>
      </c>
      <c r="E131" t="s">
        <v>156</v>
      </c>
      <c r="F131" t="s">
        <v>157</v>
      </c>
    </row>
    <row r="132" spans="2:6" x14ac:dyDescent="0.3">
      <c r="B132" t="s">
        <v>118</v>
      </c>
      <c r="C132" t="s">
        <v>11</v>
      </c>
      <c r="D132" t="s">
        <v>5</v>
      </c>
      <c r="E132" t="s">
        <v>162</v>
      </c>
      <c r="F132" t="s">
        <v>164</v>
      </c>
    </row>
    <row r="133" spans="2:6" x14ac:dyDescent="0.3">
      <c r="B133" t="s">
        <v>119</v>
      </c>
      <c r="C133" t="s">
        <v>11</v>
      </c>
      <c r="D133" t="s">
        <v>42</v>
      </c>
      <c r="E133" t="s">
        <v>163</v>
      </c>
      <c r="F133" t="s">
        <v>165</v>
      </c>
    </row>
    <row r="134" spans="2:6" x14ac:dyDescent="0.3">
      <c r="B134" t="s">
        <v>176</v>
      </c>
      <c r="D134" t="s">
        <v>4</v>
      </c>
    </row>
    <row r="135" spans="2:6" x14ac:dyDescent="0.3">
      <c r="B135" t="s">
        <v>181</v>
      </c>
      <c r="C135" t="s">
        <v>11</v>
      </c>
      <c r="D135" t="s">
        <v>5</v>
      </c>
      <c r="E135" t="s">
        <v>182</v>
      </c>
      <c r="F135" t="s">
        <v>189</v>
      </c>
    </row>
    <row r="136" spans="2:6" x14ac:dyDescent="0.3">
      <c r="B136" t="s">
        <v>183</v>
      </c>
      <c r="C136" t="s">
        <v>11</v>
      </c>
      <c r="D136" t="s">
        <v>5</v>
      </c>
      <c r="E136" t="s">
        <v>184</v>
      </c>
      <c r="F136" t="s">
        <v>192</v>
      </c>
    </row>
    <row r="137" spans="2:6" x14ac:dyDescent="0.3">
      <c r="B137" t="s">
        <v>185</v>
      </c>
      <c r="C137" t="s">
        <v>11</v>
      </c>
      <c r="D137" t="s">
        <v>5</v>
      </c>
      <c r="E137" t="s">
        <v>186</v>
      </c>
      <c r="F137" t="s">
        <v>190</v>
      </c>
    </row>
    <row r="138" spans="2:6" x14ac:dyDescent="0.3">
      <c r="B138" t="s">
        <v>187</v>
      </c>
      <c r="C138" t="s">
        <v>11</v>
      </c>
      <c r="D138" t="s">
        <v>5</v>
      </c>
      <c r="E138" t="s">
        <v>188</v>
      </c>
      <c r="F138" t="s">
        <v>191</v>
      </c>
    </row>
    <row r="139" spans="2:6" x14ac:dyDescent="0.3">
      <c r="B139" t="s">
        <v>193</v>
      </c>
      <c r="C139" t="s">
        <v>11</v>
      </c>
      <c r="D139" t="s">
        <v>42</v>
      </c>
      <c r="E139" t="s">
        <v>194</v>
      </c>
      <c r="F139" t="s">
        <v>195</v>
      </c>
    </row>
    <row r="140" spans="2:6" x14ac:dyDescent="0.3">
      <c r="B140" t="s">
        <v>196</v>
      </c>
      <c r="D140" t="s">
        <v>4</v>
      </c>
    </row>
    <row r="141" spans="2:6" x14ac:dyDescent="0.3">
      <c r="B141" t="s">
        <v>8</v>
      </c>
      <c r="C141" t="s">
        <v>11</v>
      </c>
      <c r="D141" t="s">
        <v>5</v>
      </c>
      <c r="E141" t="s">
        <v>209</v>
      </c>
      <c r="F141" t="s">
        <v>210</v>
      </c>
    </row>
    <row r="142" spans="2:6" x14ac:dyDescent="0.3">
      <c r="B142" t="s">
        <v>197</v>
      </c>
      <c r="C142" t="s">
        <v>11</v>
      </c>
      <c r="D142" t="s">
        <v>5</v>
      </c>
      <c r="E142" t="s">
        <v>198</v>
      </c>
      <c r="F142" t="s">
        <v>199</v>
      </c>
    </row>
    <row r="143" spans="2:6" x14ac:dyDescent="0.3">
      <c r="B143" t="s">
        <v>200</v>
      </c>
      <c r="C143" t="s">
        <v>11</v>
      </c>
      <c r="D143" t="s">
        <v>5</v>
      </c>
      <c r="E143" t="s">
        <v>201</v>
      </c>
      <c r="F143" t="s">
        <v>202</v>
      </c>
    </row>
    <row r="144" spans="2:6" x14ac:dyDescent="0.3">
      <c r="B144" t="s">
        <v>203</v>
      </c>
      <c r="C144" t="s">
        <v>11</v>
      </c>
      <c r="D144" t="s">
        <v>5</v>
      </c>
      <c r="E144" t="s">
        <v>205</v>
      </c>
      <c r="F144" t="s">
        <v>206</v>
      </c>
    </row>
    <row r="145" spans="2:6" x14ac:dyDescent="0.3">
      <c r="B145" t="s">
        <v>204</v>
      </c>
      <c r="C145" t="s">
        <v>11</v>
      </c>
      <c r="D145" t="s">
        <v>145</v>
      </c>
      <c r="E145" t="s">
        <v>207</v>
      </c>
      <c r="F145" t="s">
        <v>208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GenerateLanguageJSON">
                <anchor moveWithCells="1" sizeWithCells="1">
                  <from>
                    <xdr:col>11</xdr:col>
                    <xdr:colOff>7620</xdr:colOff>
                    <xdr:row>0</xdr:row>
                    <xdr:rowOff>38100</xdr:rowOff>
                  </from>
                  <to>
                    <xdr:col>14</xdr:col>
                    <xdr:colOff>541020</xdr:colOff>
                    <xdr:row>4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110FE-EA9A-4CEE-8DA3-5DDF02E95249}">
  <sheetPr codeName="Sheet2"/>
  <dimension ref="F1:G323"/>
  <sheetViews>
    <sheetView topLeftCell="A138" workbookViewId="0">
      <selection activeCell="F2" sqref="F2:G323"/>
    </sheetView>
  </sheetViews>
  <sheetFormatPr defaultRowHeight="14.4" x14ac:dyDescent="0.3"/>
  <cols>
    <col min="6" max="6" width="31.44140625" customWidth="1"/>
    <col min="7" max="7" width="8.88671875" customWidth="1"/>
  </cols>
  <sheetData>
    <row r="1" spans="6:7" x14ac:dyDescent="0.3">
      <c r="F1" t="str">
        <f>""""&amp;Input!E1&amp;""":{"</f>
        <v>"en":{</v>
      </c>
      <c r="G1" t="str">
        <f>""""&amp;Input!F1&amp;""":{"</f>
        <v>"es":{</v>
      </c>
    </row>
    <row r="2" spans="6:7" x14ac:dyDescent="0.3">
      <c r="F2" t="str">
        <f>IF(ISBLANK(Input!$B2),"",Input!$A2&amp;""""&amp;Input!$B2&amp;""":"&amp;Input!$C2&amp;Input!E2&amp;Input!$C2&amp;Input!$D2&amp;IF(ISBLANK(Input!$B3),"}"&amp;IF(ISBLANK(G$1),"",","),""))</f>
        <v>"name":"English",</v>
      </c>
      <c r="G2" t="str">
        <f>IF(ISBLANK(Input!$B2),"",Input!$A2&amp;""""&amp;Input!$B2&amp;""":"&amp;Input!$C2&amp;Input!F2&amp;Input!$C2&amp;Input!$D2&amp;IF(ISBLANK(Input!$B3),"}"&amp;IF(ISBLANK(H$1),"",","),""))</f>
        <v>"name":"Español",</v>
      </c>
    </row>
    <row r="3" spans="6:7" x14ac:dyDescent="0.3">
      <c r="F3" t="str">
        <f>IF(ISBLANK(Input!$B3),"",Input!$A3&amp;""""&amp;Input!$B3&amp;""":"&amp;Input!$C3&amp;Input!E3&amp;Input!$C3&amp;Input!$D3&amp;IF(ISBLANK(Input!$B4),"}"&amp;IF(ISBLANK(G$1),"",","),""))</f>
        <v>"appName":"CIT-WL",</v>
      </c>
      <c r="G3" t="str">
        <f>IF(ISBLANK(Input!$B3),"",Input!$A3&amp;""""&amp;Input!$B3&amp;""":"&amp;Input!$C3&amp;Input!F3&amp;Input!$C3&amp;Input!$D3&amp;IF(ISBLANK(Input!$B4),"}"&amp;IF(ISBLANK(H$1),"",","),""))</f>
        <v>"appName":"CIT-WL",</v>
      </c>
    </row>
    <row r="4" spans="6:7" x14ac:dyDescent="0.3">
      <c r="F4" t="str">
        <f>IF(ISBLANK(Input!$B4),"",Input!$A4&amp;""""&amp;Input!$B4&amp;""":"&amp;Input!$C4&amp;Input!E4&amp;Input!$C4&amp;Input!$D4&amp;IF(ISBLANK(Input!$B5),"}"&amp;IF(ISBLANK(G$1),"",","),""))</f>
        <v>"appFName":"Control and Identification Toolbox - Web Laboratory",</v>
      </c>
      <c r="G4" t="str">
        <f>IF(ISBLANK(Input!$B4),"",Input!$A4&amp;""""&amp;Input!$B4&amp;""":"&amp;Input!$C4&amp;Input!F4&amp;Input!$C4&amp;Input!$D4&amp;IF(ISBLANK(Input!$B5),"}"&amp;IF(ISBLANK(H$1),"",","),""))</f>
        <v>"appFName":"Caja de herramientas de control e identificación - Laboratorio web",</v>
      </c>
    </row>
    <row r="5" spans="6:7" x14ac:dyDescent="0.3">
      <c r="F5" t="str">
        <f>IF(ISBLANK(Input!$B5),"",Input!$A5&amp;""""&amp;Input!$B5&amp;""":"&amp;Input!$C5&amp;Input!E5&amp;Input!$C5&amp;Input!$D5&amp;IF(ISBLANK(Input!$B6),"}"&amp;IF(ISBLANK(G$1),"",","),""))</f>
        <v>"algorithms":{</v>
      </c>
      <c r="G5" t="str">
        <f>IF(ISBLANK(Input!$B5),"",Input!$A5&amp;""""&amp;Input!$B5&amp;""":"&amp;Input!$C5&amp;Input!F5&amp;Input!$C5&amp;Input!$D5&amp;IF(ISBLANK(Input!$B6),"}"&amp;IF(ISBLANK(H$1),"",","),""))</f>
        <v>"algorithms":{</v>
      </c>
    </row>
    <row r="6" spans="6:7" x14ac:dyDescent="0.3">
      <c r="F6" t="str">
        <f>IF(ISBLANK(Input!$B6),"",Input!$A6&amp;""""&amp;Input!$B6&amp;""":"&amp;Input!$C6&amp;Input!E6&amp;Input!$C6&amp;Input!$D6&amp;IF(ISBLANK(Input!$B7),"}"&amp;IF(ISBLANK(G$1),"",","),""))</f>
        <v>"sResponse":{</v>
      </c>
      <c r="G6" t="str">
        <f>IF(ISBLANK(Input!$B6),"",Input!$A6&amp;""""&amp;Input!$B6&amp;""":"&amp;Input!$C6&amp;Input!F6&amp;Input!$C6&amp;Input!$D6&amp;IF(ISBLANK(Input!$B7),"}"&amp;IF(ISBLANK(H$1),"",","),""))</f>
        <v>"sResponse":{</v>
      </c>
    </row>
    <row r="7" spans="6:7" x14ac:dyDescent="0.3">
      <c r="F7" t="str">
        <f>IF(ISBLANK(Input!$B7),"",Input!$A7&amp;""""&amp;Input!$B7&amp;""":"&amp;Input!$C7&amp;Input!E7&amp;Input!$C7&amp;Input!$D7&amp;IF(ISBLANK(Input!$B8),"}"&amp;IF(ISBLANK(G$1),"",","),""))</f>
        <v>"name":"System response",</v>
      </c>
      <c r="G7" t="str">
        <f>IF(ISBLANK(Input!$B7),"",Input!$A7&amp;""""&amp;Input!$B7&amp;""":"&amp;Input!$C7&amp;Input!F7&amp;Input!$C7&amp;Input!$D7&amp;IF(ISBLANK(Input!$B8),"}"&amp;IF(ISBLANK(H$1),"",","),""))</f>
        <v>"name":"Respuesta del sistema",</v>
      </c>
    </row>
    <row r="8" spans="6:7" x14ac:dyDescent="0.3">
      <c r="F8" t="str">
        <f>IF(ISBLANK(Input!$B8),"",Input!$A8&amp;""""&amp;Input!$B8&amp;""":"&amp;Input!$C8&amp;Input!E8&amp;Input!$C8&amp;Input!$D8&amp;IF(ISBLANK(Input!$B9),"}"&amp;IF(ISBLANK(G$1),"",","),""))</f>
        <v>"documentation":"ol-system.pdf",</v>
      </c>
      <c r="G8" t="str">
        <f>IF(ISBLANK(Input!$B8),"",Input!$A8&amp;""""&amp;Input!$B8&amp;""":"&amp;Input!$C8&amp;Input!F8&amp;Input!$C8&amp;Input!$D8&amp;IF(ISBLANK(Input!$B9),"}"&amp;IF(ISBLANK(H$1),"",","),""))</f>
        <v>"documentation":"ol-system.pdf",</v>
      </c>
    </row>
    <row r="9" spans="6:7" x14ac:dyDescent="0.3">
      <c r="F9" t="str">
        <f>IF(ISBLANK(Input!$B9),"",Input!$A9&amp;""""&amp;Input!$B9&amp;""":"&amp;Input!$C9&amp;Input!E9&amp;Input!$C9&amp;Input!$D9&amp;IF(ISBLANK(Input!$B10),"}"&amp;IF(ISBLANK(G$1),"",","),""))</f>
        <v>"plots":{</v>
      </c>
      <c r="G9" t="str">
        <f>IF(ISBLANK(Input!$B9),"",Input!$A9&amp;""""&amp;Input!$B9&amp;""":"&amp;Input!$C9&amp;Input!F9&amp;Input!$C9&amp;Input!$D9&amp;IF(ISBLANK(Input!$B10),"}"&amp;IF(ISBLANK(H$1),"",","),""))</f>
        <v>"plots":{</v>
      </c>
    </row>
    <row r="10" spans="6:7" x14ac:dyDescent="0.3">
      <c r="F10" t="str">
        <f>IF(ISBLANK(Input!$B10),"",Input!$A10&amp;""""&amp;Input!$B10&amp;""":"&amp;Input!$C10&amp;Input!E10&amp;Input!$C10&amp;Input!$D10&amp;IF(ISBLANK(Input!$B11),"}"&amp;IF(ISBLANK(G$1),"",","),""))</f>
        <v>"u":"Input to the system, $u(t)$",</v>
      </c>
      <c r="G10" t="str">
        <f>IF(ISBLANK(Input!$B10),"",Input!$A10&amp;""""&amp;Input!$B10&amp;""":"&amp;Input!$C10&amp;Input!F10&amp;Input!$C10&amp;Input!$D10&amp;IF(ISBLANK(Input!$B11),"}"&amp;IF(ISBLANK(H$1),"",","),""))</f>
        <v>"u":"Entrada al sistema, $u(t)$",</v>
      </c>
    </row>
    <row r="11" spans="6:7" x14ac:dyDescent="0.3">
      <c r="F11" t="str">
        <f>IF(ISBLANK(Input!$B11),"",Input!$A11&amp;""""&amp;Input!$B11&amp;""":"&amp;Input!$C11&amp;Input!E11&amp;Input!$C11&amp;Input!$D11&amp;IF(ISBLANK(Input!$B12),"}"&amp;IF(ISBLANK(G$1),"",","),""))</f>
        <v>"y":"System output, $y(t)$"},</v>
      </c>
      <c r="G11" t="str">
        <f>IF(ISBLANK(Input!$B11),"",Input!$A11&amp;""""&amp;Input!$B11&amp;""":"&amp;Input!$C11&amp;Input!F11&amp;Input!$C11&amp;Input!$D11&amp;IF(ISBLANK(Input!$B12),"}"&amp;IF(ISBLANK(H$1),"",","),""))</f>
        <v>"y":"Salida del sistema, $y(t)$"},</v>
      </c>
    </row>
    <row r="12" spans="6:7" x14ac:dyDescent="0.3">
      <c r="F12" t="str">
        <f>IF(ISBLANK(Input!$B12),"",Input!$A12&amp;""""&amp;Input!$B12&amp;""":"&amp;Input!$C12&amp;Input!E12&amp;Input!$C12&amp;Input!$D12&amp;IF(ISBLANK(Input!$B13),"}"&amp;IF(ISBLANK(G$1),"",","),""))</f>
        <v>"fGens":{</v>
      </c>
      <c r="G12" t="str">
        <f>IF(ISBLANK(Input!$B12),"",Input!$A12&amp;""""&amp;Input!$B12&amp;""":"&amp;Input!$C12&amp;Input!F12&amp;Input!$C12&amp;Input!$D12&amp;IF(ISBLANK(Input!$B13),"}"&amp;IF(ISBLANK(H$1),"",","),""))</f>
        <v>"fGens":{</v>
      </c>
    </row>
    <row r="13" spans="6:7" x14ac:dyDescent="0.3">
      <c r="F13" t="str">
        <f>IF(ISBLANK(Input!$B13),"",Input!$A13&amp;""""&amp;Input!$B13&amp;""":"&amp;Input!$C13&amp;Input!E13&amp;Input!$C13&amp;Input!$D13&amp;IF(ISBLANK(Input!$B14),"}"&amp;IF(ISBLANK(G$1),"",","),""))</f>
        <v>"u":{</v>
      </c>
      <c r="G13" t="str">
        <f>IF(ISBLANK(Input!$B13),"",Input!$A13&amp;""""&amp;Input!$B13&amp;""":"&amp;Input!$C13&amp;Input!F13&amp;Input!$C13&amp;Input!$D13&amp;IF(ISBLANK(Input!$B14),"}"&amp;IF(ISBLANK(H$1),"",","),""))</f>
        <v>"u":{</v>
      </c>
    </row>
    <row r="14" spans="6:7" x14ac:dyDescent="0.3">
      <c r="F14" t="str">
        <f>IF(ISBLANK(Input!$B14),"",Input!$A14&amp;""""&amp;Input!$B14&amp;""":"&amp;Input!$C14&amp;Input!E14&amp;Input!$C14&amp;Input!$D14&amp;IF(ISBLANK(Input!$B15),"}"&amp;IF(ISBLANK(G$1),"",","),""))</f>
        <v>"name":"Input to the system, $u(t)$"}},</v>
      </c>
      <c r="G14" t="str">
        <f>IF(ISBLANK(Input!$B14),"",Input!$A14&amp;""""&amp;Input!$B14&amp;""":"&amp;Input!$C14&amp;Input!F14&amp;Input!$C14&amp;Input!$D14&amp;IF(ISBLANK(Input!$B15),"}"&amp;IF(ISBLANK(H$1),"",","),""))</f>
        <v>"name":"Entrada al sistema, $u(t)$"}},</v>
      </c>
    </row>
    <row r="15" spans="6:7" x14ac:dyDescent="0.3">
      <c r="F15" t="str">
        <f>IF(ISBLANK(Input!$B15),"",Input!$A15&amp;""""&amp;Input!$B15&amp;""":"&amp;Input!$C15&amp;Input!E15&amp;Input!$C15&amp;Input!$D15&amp;IF(ISBLANK(Input!$B16),"}"&amp;IF(ISBLANK(G$1),"",","),""))</f>
        <v>"inputs":{</v>
      </c>
      <c r="G15" t="str">
        <f>IF(ISBLANK(Input!$B15),"",Input!$A15&amp;""""&amp;Input!$B15&amp;""":"&amp;Input!$C15&amp;Input!F15&amp;Input!$C15&amp;Input!$D15&amp;IF(ISBLANK(Input!$B16),"}"&amp;IF(ISBLANK(H$1),"",","),""))</f>
        <v>"inputs":{</v>
      </c>
    </row>
    <row r="16" spans="6:7" x14ac:dyDescent="0.3">
      <c r="F16" t="str">
        <f>IF(ISBLANK(Input!$B16),"",Input!$A16&amp;""""&amp;Input!$B16&amp;""":"&amp;Input!$C16&amp;Input!E16&amp;Input!$C16&amp;Input!$D16&amp;IF(ISBLANK(Input!$B17),"}"&amp;IF(ISBLANK(G$1),"",","),""))</f>
        <v>"in":"System output, $y(t)$"},</v>
      </c>
      <c r="G16" t="str">
        <f>IF(ISBLANK(Input!$B16),"",Input!$A16&amp;""""&amp;Input!$B16&amp;""":"&amp;Input!$C16&amp;Input!F16&amp;Input!$C16&amp;Input!$D16&amp;IF(ISBLANK(Input!$B17),"}"&amp;IF(ISBLANK(H$1),"",","),""))</f>
        <v>"in":"Salida del sistema, $y(t)$"},</v>
      </c>
    </row>
    <row r="17" spans="6:7" x14ac:dyDescent="0.3">
      <c r="F17" t="str">
        <f>IF(ISBLANK(Input!$B17),"",Input!$A17&amp;""""&amp;Input!$B17&amp;""":"&amp;Input!$C17&amp;Input!E17&amp;Input!$C17&amp;Input!$D17&amp;IF(ISBLANK(Input!$B18),"}"&amp;IF(ISBLANK(G$1),"",","),""))</f>
        <v>"outputs":{</v>
      </c>
      <c r="G17" t="str">
        <f>IF(ISBLANK(Input!$B17),"",Input!$A17&amp;""""&amp;Input!$B17&amp;""":"&amp;Input!$C17&amp;Input!F17&amp;Input!$C17&amp;Input!$D17&amp;IF(ISBLANK(Input!$B18),"}"&amp;IF(ISBLANK(H$1),"",","),""))</f>
        <v>"outputs":{</v>
      </c>
    </row>
    <row r="18" spans="6:7" x14ac:dyDescent="0.3">
      <c r="F18" t="str">
        <f>IF(ISBLANK(Input!$B18),"",Input!$A18&amp;""""&amp;Input!$B18&amp;""":"&amp;Input!$C18&amp;Input!E18&amp;Input!$C18&amp;Input!$D18&amp;IF(ISBLANK(Input!$B19),"}"&amp;IF(ISBLANK(G$1),"",","),""))</f>
        <v>"out":"System input, $u(t)$"}},</v>
      </c>
      <c r="G18" t="str">
        <f>IF(ISBLANK(Input!$B18),"",Input!$A18&amp;""""&amp;Input!$B18&amp;""":"&amp;Input!$C18&amp;Input!F18&amp;Input!$C18&amp;Input!$D18&amp;IF(ISBLANK(Input!$B19),"}"&amp;IF(ISBLANK(H$1),"",","),""))</f>
        <v>"out":"Entrada del sistema, $u(t)$"}},</v>
      </c>
    </row>
    <row r="19" spans="6:7" x14ac:dyDescent="0.3">
      <c r="F19" t="str">
        <f>IF(ISBLANK(Input!$B19),"",Input!$A19&amp;""""&amp;Input!$B19&amp;""":"&amp;Input!$C19&amp;Input!E19&amp;Input!$C19&amp;Input!$D19&amp;IF(ISBLANK(Input!$B20),"}"&amp;IF(ISBLANK(G$1),"",","),""))</f>
        <v>"pid":{</v>
      </c>
      <c r="G19" t="str">
        <f>IF(ISBLANK(Input!$B19),"",Input!$A19&amp;""""&amp;Input!$B19&amp;""":"&amp;Input!$C19&amp;Input!F19&amp;Input!$C19&amp;Input!$D19&amp;IF(ISBLANK(Input!$B20),"}"&amp;IF(ISBLANK(H$1),"",","),""))</f>
        <v>"pid":{</v>
      </c>
    </row>
    <row r="20" spans="6:7" x14ac:dyDescent="0.3">
      <c r="F20" t="str">
        <f>IF(ISBLANK(Input!$B20),"",Input!$A20&amp;""""&amp;Input!$B20&amp;""":"&amp;Input!$C20&amp;Input!E20&amp;Input!$C20&amp;Input!$D20&amp;IF(ISBLANK(Input!$B21),"}"&amp;IF(ISBLANK(G$1),"",","),""))</f>
        <v>"name":"PID controller",</v>
      </c>
      <c r="G20" t="str">
        <f>IF(ISBLANK(Input!$B20),"",Input!$A20&amp;""""&amp;Input!$B20&amp;""":"&amp;Input!$C20&amp;Input!F20&amp;Input!$C20&amp;Input!$D20&amp;IF(ISBLANK(Input!$B21),"}"&amp;IF(ISBLANK(H$1),"",","),""))</f>
        <v>"name":"Controlador PID",</v>
      </c>
    </row>
    <row r="21" spans="6:7" x14ac:dyDescent="0.3">
      <c r="F21" t="str">
        <f>IF(ISBLANK(Input!$B21),"",Input!$A21&amp;""""&amp;Input!$B21&amp;""":"&amp;Input!$C21&amp;Input!E21&amp;Input!$C21&amp;Input!$D21&amp;IF(ISBLANK(Input!$B22),"}"&amp;IF(ISBLANK(G$1),"",","),""))</f>
        <v>"documentation":"pid.pdf",</v>
      </c>
      <c r="G21" t="str">
        <f>IF(ISBLANK(Input!$B21),"",Input!$A21&amp;""""&amp;Input!$B21&amp;""":"&amp;Input!$C21&amp;Input!F21&amp;Input!$C21&amp;Input!$D21&amp;IF(ISBLANK(Input!$B22),"}"&amp;IF(ISBLANK(H$1),"",","),""))</f>
        <v>"documentation":"pid.pdf",</v>
      </c>
    </row>
    <row r="22" spans="6:7" x14ac:dyDescent="0.3">
      <c r="F22" t="str">
        <f>IF(ISBLANK(Input!$B22),"",Input!$A22&amp;""""&amp;Input!$B22&amp;""":"&amp;Input!$C22&amp;Input!E22&amp;Input!$C22&amp;Input!$D22&amp;IF(ISBLANK(Input!$B23),"}"&amp;IF(ISBLANK(G$1),"",","),""))</f>
        <v>"params":{</v>
      </c>
      <c r="G22" t="str">
        <f>IF(ISBLANK(Input!$B22),"",Input!$A22&amp;""""&amp;Input!$B22&amp;""":"&amp;Input!$C22&amp;Input!F22&amp;Input!$C22&amp;Input!$D22&amp;IF(ISBLANK(Input!$B23),"}"&amp;IF(ISBLANK(H$1),"",","),""))</f>
        <v>"params":{</v>
      </c>
    </row>
    <row r="23" spans="6:7" x14ac:dyDescent="0.3">
      <c r="F23" t="str">
        <f>IF(ISBLANK(Input!$B23),"",Input!$A23&amp;""""&amp;Input!$B23&amp;""":"&amp;Input!$C23&amp;Input!E23&amp;Input!$C23&amp;Input!$D23&amp;IF(ISBLANK(Input!$B24),"}"&amp;IF(ISBLANK(G$1),"",","),""))</f>
        <v>"k-p":{</v>
      </c>
      <c r="G23" t="str">
        <f>IF(ISBLANK(Input!$B23),"",Input!$A23&amp;""""&amp;Input!$B23&amp;""":"&amp;Input!$C23&amp;Input!F23&amp;Input!$C23&amp;Input!$D23&amp;IF(ISBLANK(Input!$B24),"}"&amp;IF(ISBLANK(H$1),"",","),""))</f>
        <v>"k-p":{</v>
      </c>
    </row>
    <row r="24" spans="6:7" x14ac:dyDescent="0.3">
      <c r="F24" t="str">
        <f>IF(ISBLANK(Input!$B24),"",Input!$A24&amp;""""&amp;Input!$B24&amp;""":"&amp;Input!$C24&amp;Input!E24&amp;Input!$C24&amp;Input!$D24&amp;IF(ISBLANK(Input!$B25),"}"&amp;IF(ISBLANK(G$1),"",","),""))</f>
        <v>"name":"Proportional constant, $K_P$",</v>
      </c>
      <c r="G24" t="str">
        <f>IF(ISBLANK(Input!$B24),"",Input!$A24&amp;""""&amp;Input!$B24&amp;""":"&amp;Input!$C24&amp;Input!F24&amp;Input!$C24&amp;Input!$D24&amp;IF(ISBLANK(Input!$B25),"}"&amp;IF(ISBLANK(H$1),"",","),""))</f>
        <v>"name":"Constante proporcional, $K_P$",</v>
      </c>
    </row>
    <row r="25" spans="6:7" x14ac:dyDescent="0.3">
      <c r="F25" t="str">
        <f>IF(ISBLANK(Input!$B25),"",Input!$A25&amp;""""&amp;Input!$B25&amp;""":"&amp;Input!$C25&amp;Input!E25&amp;Input!$C25&amp;Input!$D25&amp;IF(ISBLANK(Input!$B26),"}"&amp;IF(ISBLANK(G$1),"",","),""))</f>
        <v>"dValue":10,</v>
      </c>
      <c r="G25" t="str">
        <f>IF(ISBLANK(Input!$B25),"",Input!$A25&amp;""""&amp;Input!$B25&amp;""":"&amp;Input!$C25&amp;Input!F25&amp;Input!$C25&amp;Input!$D25&amp;IF(ISBLANK(Input!$B26),"}"&amp;IF(ISBLANK(H$1),"",","),""))</f>
        <v>"dValue":10,</v>
      </c>
    </row>
    <row r="26" spans="6:7" x14ac:dyDescent="0.3">
      <c r="F26" t="str">
        <f>IF(ISBLANK(Input!$B26),"",Input!$A26&amp;""""&amp;Input!$B26&amp;""":"&amp;Input!$C26&amp;Input!E26&amp;Input!$C26&amp;Input!$D26&amp;IF(ISBLANK(Input!$B27),"}"&amp;IF(ISBLANK(G$1),"",","),""))</f>
        <v>"min":-Infinity,</v>
      </c>
      <c r="G26" t="str">
        <f>IF(ISBLANK(Input!$B26),"",Input!$A26&amp;""""&amp;Input!$B26&amp;""":"&amp;Input!$C26&amp;Input!F26&amp;Input!$C26&amp;Input!$D26&amp;IF(ISBLANK(Input!$B27),"}"&amp;IF(ISBLANK(H$1),"",","),""))</f>
        <v>"min":-Infinity,</v>
      </c>
    </row>
    <row r="27" spans="6:7" x14ac:dyDescent="0.3">
      <c r="F27" t="str">
        <f>IF(ISBLANK(Input!$B27),"",Input!$A27&amp;""""&amp;Input!$B27&amp;""":"&amp;Input!$C27&amp;Input!E27&amp;Input!$C27&amp;Input!$D27&amp;IF(ISBLANK(Input!$B28),"}"&amp;IF(ISBLANK(G$1),"",","),""))</f>
        <v>"max":Infinity},</v>
      </c>
      <c r="G27" t="str">
        <f>IF(ISBLANK(Input!$B27),"",Input!$A27&amp;""""&amp;Input!$B27&amp;""":"&amp;Input!$C27&amp;Input!F27&amp;Input!$C27&amp;Input!$D27&amp;IF(ISBLANK(Input!$B28),"}"&amp;IF(ISBLANK(H$1),"",","),""))</f>
        <v>"max":Infinity},</v>
      </c>
    </row>
    <row r="28" spans="6:7" x14ac:dyDescent="0.3">
      <c r="F28" t="str">
        <f>IF(ISBLANK(Input!$B28),"",Input!$A28&amp;""""&amp;Input!$B28&amp;""":"&amp;Input!$C28&amp;Input!E28&amp;Input!$C28&amp;Input!$D28&amp;IF(ISBLANK(Input!$B29),"}"&amp;IF(ISBLANK(G$1),"",","),""))</f>
        <v>"k-i":{</v>
      </c>
      <c r="G28" t="str">
        <f>IF(ISBLANK(Input!$B28),"",Input!$A28&amp;""""&amp;Input!$B28&amp;""":"&amp;Input!$C28&amp;Input!F28&amp;Input!$C28&amp;Input!$D28&amp;IF(ISBLANK(Input!$B29),"}"&amp;IF(ISBLANK(H$1),"",","),""))</f>
        <v>"k-i":{</v>
      </c>
    </row>
    <row r="29" spans="6:7" x14ac:dyDescent="0.3">
      <c r="F29" t="str">
        <f>IF(ISBLANK(Input!$B29),"",Input!$A29&amp;""""&amp;Input!$B29&amp;""":"&amp;Input!$C29&amp;Input!E29&amp;Input!$C29&amp;Input!$D29&amp;IF(ISBLANK(Input!$B30),"}"&amp;IF(ISBLANK(G$1),"",","),""))</f>
        <v>"name":"Integral constant, $K_I$",</v>
      </c>
      <c r="G29" t="str">
        <f>IF(ISBLANK(Input!$B29),"",Input!$A29&amp;""""&amp;Input!$B29&amp;""":"&amp;Input!$C29&amp;Input!F29&amp;Input!$C29&amp;Input!$D29&amp;IF(ISBLANK(Input!$B30),"}"&amp;IF(ISBLANK(H$1),"",","),""))</f>
        <v>"name":"Constante integral, $K_I$",</v>
      </c>
    </row>
    <row r="30" spans="6:7" x14ac:dyDescent="0.3">
      <c r="F30" t="str">
        <f>IF(ISBLANK(Input!$B30),"",Input!$A30&amp;""""&amp;Input!$B30&amp;""":"&amp;Input!$C30&amp;Input!E30&amp;Input!$C30&amp;Input!$D30&amp;IF(ISBLANK(Input!$B31),"}"&amp;IF(ISBLANK(G$1),"",","),""))</f>
        <v>"dValue":1,</v>
      </c>
      <c r="G30" t="str">
        <f>IF(ISBLANK(Input!$B30),"",Input!$A30&amp;""""&amp;Input!$B30&amp;""":"&amp;Input!$C30&amp;Input!F30&amp;Input!$C30&amp;Input!$D30&amp;IF(ISBLANK(Input!$B31),"}"&amp;IF(ISBLANK(H$1),"",","),""))</f>
        <v>"dValue":1,</v>
      </c>
    </row>
    <row r="31" spans="6:7" x14ac:dyDescent="0.3">
      <c r="F31" t="str">
        <f>IF(ISBLANK(Input!$B31),"",Input!$A31&amp;""""&amp;Input!$B31&amp;""":"&amp;Input!$C31&amp;Input!E31&amp;Input!$C31&amp;Input!$D31&amp;IF(ISBLANK(Input!$B32),"}"&amp;IF(ISBLANK(G$1),"",","),""))</f>
        <v>"min":-Infinity,</v>
      </c>
      <c r="G31" t="str">
        <f>IF(ISBLANK(Input!$B31),"",Input!$A31&amp;""""&amp;Input!$B31&amp;""":"&amp;Input!$C31&amp;Input!F31&amp;Input!$C31&amp;Input!$D31&amp;IF(ISBLANK(Input!$B32),"}"&amp;IF(ISBLANK(H$1),"",","),""))</f>
        <v>"min":-Infinity,</v>
      </c>
    </row>
    <row r="32" spans="6:7" x14ac:dyDescent="0.3">
      <c r="F32" t="str">
        <f>IF(ISBLANK(Input!$B32),"",Input!$A32&amp;""""&amp;Input!$B32&amp;""":"&amp;Input!$C32&amp;Input!E32&amp;Input!$C32&amp;Input!$D32&amp;IF(ISBLANK(Input!$B33),"}"&amp;IF(ISBLANK(G$1),"",","),""))</f>
        <v>"max":Infinity},</v>
      </c>
      <c r="G32" t="str">
        <f>IF(ISBLANK(Input!$B32),"",Input!$A32&amp;""""&amp;Input!$B32&amp;""":"&amp;Input!$C32&amp;Input!F32&amp;Input!$C32&amp;Input!$D32&amp;IF(ISBLANK(Input!$B33),"}"&amp;IF(ISBLANK(H$1),"",","),""))</f>
        <v>"max":Infinity},</v>
      </c>
    </row>
    <row r="33" spans="6:7" x14ac:dyDescent="0.3">
      <c r="F33" t="str">
        <f>IF(ISBLANK(Input!$B33),"",Input!$A33&amp;""""&amp;Input!$B33&amp;""":"&amp;Input!$C33&amp;Input!E33&amp;Input!$C33&amp;Input!$D33&amp;IF(ISBLANK(Input!$B34),"}"&amp;IF(ISBLANK(G$1),"",","),""))</f>
        <v>"k-d":{</v>
      </c>
      <c r="G33" t="str">
        <f>IF(ISBLANK(Input!$B33),"",Input!$A33&amp;""""&amp;Input!$B33&amp;""":"&amp;Input!$C33&amp;Input!F33&amp;Input!$C33&amp;Input!$D33&amp;IF(ISBLANK(Input!$B34),"}"&amp;IF(ISBLANK(H$1),"",","),""))</f>
        <v>"k-d":{</v>
      </c>
    </row>
    <row r="34" spans="6:7" x14ac:dyDescent="0.3">
      <c r="F34" t="str">
        <f>IF(ISBLANK(Input!$B34),"",Input!$A34&amp;""""&amp;Input!$B34&amp;""":"&amp;Input!$C34&amp;Input!E34&amp;Input!$C34&amp;Input!$D34&amp;IF(ISBLANK(Input!$B35),"}"&amp;IF(ISBLANK(G$1),"",","),""))</f>
        <v>"name":"Derivative constant, $K_D$",</v>
      </c>
      <c r="G34" t="str">
        <f>IF(ISBLANK(Input!$B34),"",Input!$A34&amp;""""&amp;Input!$B34&amp;""":"&amp;Input!$C34&amp;Input!F34&amp;Input!$C34&amp;Input!$D34&amp;IF(ISBLANK(Input!$B35),"}"&amp;IF(ISBLANK(H$1),"",","),""))</f>
        <v>"name":"Constante derivada, $K_D$",</v>
      </c>
    </row>
    <row r="35" spans="6:7" x14ac:dyDescent="0.3">
      <c r="F35" t="str">
        <f>IF(ISBLANK(Input!$B35),"",Input!$A35&amp;""""&amp;Input!$B35&amp;""":"&amp;Input!$C35&amp;Input!E35&amp;Input!$C35&amp;Input!$D35&amp;IF(ISBLANK(Input!$B36),"}"&amp;IF(ISBLANK(G$1),"",","),""))</f>
        <v>"dValue":0,</v>
      </c>
      <c r="G35" t="str">
        <f>IF(ISBLANK(Input!$B35),"",Input!$A35&amp;""""&amp;Input!$B35&amp;""":"&amp;Input!$C35&amp;Input!F35&amp;Input!$C35&amp;Input!$D35&amp;IF(ISBLANK(Input!$B36),"}"&amp;IF(ISBLANK(H$1),"",","),""))</f>
        <v>"dValue":0,</v>
      </c>
    </row>
    <row r="36" spans="6:7" x14ac:dyDescent="0.3">
      <c r="F36" t="str">
        <f>IF(ISBLANK(Input!$B36),"",Input!$A36&amp;""""&amp;Input!$B36&amp;""":"&amp;Input!$C36&amp;Input!E36&amp;Input!$C36&amp;Input!$D36&amp;IF(ISBLANK(Input!$B37),"}"&amp;IF(ISBLANK(G$1),"",","),""))</f>
        <v>"min":-Infinity,</v>
      </c>
      <c r="G36" t="str">
        <f>IF(ISBLANK(Input!$B36),"",Input!$A36&amp;""""&amp;Input!$B36&amp;""":"&amp;Input!$C36&amp;Input!F36&amp;Input!$C36&amp;Input!$D36&amp;IF(ISBLANK(Input!$B37),"}"&amp;IF(ISBLANK(H$1),"",","),""))</f>
        <v>"min":-Infinity,</v>
      </c>
    </row>
    <row r="37" spans="6:7" x14ac:dyDescent="0.3">
      <c r="F37" t="str">
        <f>IF(ISBLANK(Input!$B37),"",Input!$A37&amp;""""&amp;Input!$B37&amp;""":"&amp;Input!$C37&amp;Input!E37&amp;Input!$C37&amp;Input!$D37&amp;IF(ISBLANK(Input!$B38),"}"&amp;IF(ISBLANK(G$1),"",","),""))</f>
        <v>"max":Infinity}},</v>
      </c>
      <c r="G37" t="str">
        <f>IF(ISBLANK(Input!$B37),"",Input!$A37&amp;""""&amp;Input!$B37&amp;""":"&amp;Input!$C37&amp;Input!F37&amp;Input!$C37&amp;Input!$D37&amp;IF(ISBLANK(Input!$B38),"}"&amp;IF(ISBLANK(H$1),"",","),""))</f>
        <v>"max":Infinity}},</v>
      </c>
    </row>
    <row r="38" spans="6:7" x14ac:dyDescent="0.3">
      <c r="F38" t="str">
        <f>IF(ISBLANK(Input!$B38),"",Input!$A38&amp;""""&amp;Input!$B38&amp;""":"&amp;Input!$C38&amp;Input!E38&amp;Input!$C38&amp;Input!$D38&amp;IF(ISBLANK(Input!$B39),"}"&amp;IF(ISBLANK(G$1),"",","),""))</f>
        <v>"plots":{</v>
      </c>
      <c r="G38" t="str">
        <f>IF(ISBLANK(Input!$B38),"",Input!$A38&amp;""""&amp;Input!$B38&amp;""":"&amp;Input!$C38&amp;Input!F38&amp;Input!$C38&amp;Input!$D38&amp;IF(ISBLANK(Input!$B39),"}"&amp;IF(ISBLANK(H$1),"",","),""))</f>
        <v>"plots":{</v>
      </c>
    </row>
    <row r="39" spans="6:7" x14ac:dyDescent="0.3">
      <c r="F39" t="str">
        <f>IF(ISBLANK(Input!$B39),"",Input!$A39&amp;""""&amp;Input!$B39&amp;""":"&amp;Input!$C39&amp;Input!E39&amp;Input!$C39&amp;Input!$D39&amp;IF(ISBLANK(Input!$B40),"}"&amp;IF(ISBLANK(G$1),"",","),""))</f>
        <v>"r":"Reference, $r(t)$",</v>
      </c>
      <c r="G39" t="str">
        <f>IF(ISBLANK(Input!$B39),"",Input!$A39&amp;""""&amp;Input!$B39&amp;""":"&amp;Input!$C39&amp;Input!F39&amp;Input!$C39&amp;Input!$D39&amp;IF(ISBLANK(Input!$B40),"}"&amp;IF(ISBLANK(H$1),"",","),""))</f>
        <v>"r":"Referencia, $r(t)$",</v>
      </c>
    </row>
    <row r="40" spans="6:7" x14ac:dyDescent="0.3">
      <c r="F40" t="str">
        <f>IF(ISBLANK(Input!$B40),"",Input!$A40&amp;""""&amp;Input!$B40&amp;""":"&amp;Input!$C40&amp;Input!E40&amp;Input!$C40&amp;Input!$D40&amp;IF(ISBLANK(Input!$B41),"}"&amp;IF(ISBLANK(G$1),"",","),""))</f>
        <v>"y":"System output, $y(t)$",</v>
      </c>
      <c r="G40" t="str">
        <f>IF(ISBLANK(Input!$B40),"",Input!$A40&amp;""""&amp;Input!$B40&amp;""":"&amp;Input!$C40&amp;Input!F40&amp;Input!$C40&amp;Input!$D40&amp;IF(ISBLANK(Input!$B41),"}"&amp;IF(ISBLANK(H$1),"",","),""))</f>
        <v>"y":"Salida del sistema, $y(t)$",</v>
      </c>
    </row>
    <row r="41" spans="6:7" x14ac:dyDescent="0.3">
      <c r="F41" t="str">
        <f>IF(ISBLANK(Input!$B41),"",Input!$A41&amp;""""&amp;Input!$B41&amp;""":"&amp;Input!$C41&amp;Input!E41&amp;Input!$C41&amp;Input!$D41&amp;IF(ISBLANK(Input!$B42),"}"&amp;IF(ISBLANK(G$1),"",","),""))</f>
        <v>"e":"Error, $e(t)$",</v>
      </c>
      <c r="G41" t="str">
        <f>IF(ISBLANK(Input!$B41),"",Input!$A41&amp;""""&amp;Input!$B41&amp;""":"&amp;Input!$C41&amp;Input!F41&amp;Input!$C41&amp;Input!$D41&amp;IF(ISBLANK(Input!$B42),"}"&amp;IF(ISBLANK(H$1),"",","),""))</f>
        <v>"e":"Error, $e(t)$",</v>
      </c>
    </row>
    <row r="42" spans="6:7" x14ac:dyDescent="0.3">
      <c r="F42" t="str">
        <f>IF(ISBLANK(Input!$B42),"",Input!$A42&amp;""""&amp;Input!$B42&amp;""":"&amp;Input!$C42&amp;Input!E42&amp;Input!$C42&amp;Input!$D42&amp;IF(ISBLANK(Input!$B43),"}"&amp;IF(ISBLANK(G$1),"",","),""))</f>
        <v>"u":"Control signal, $u(t)$"},</v>
      </c>
      <c r="G42" t="str">
        <f>IF(ISBLANK(Input!$B42),"",Input!$A42&amp;""""&amp;Input!$B42&amp;""":"&amp;Input!$C42&amp;Input!F42&amp;Input!$C42&amp;Input!$D42&amp;IF(ISBLANK(Input!$B43),"}"&amp;IF(ISBLANK(H$1),"",","),""))</f>
        <v>"u":"Siñal de control, $u(t)$"},</v>
      </c>
    </row>
    <row r="43" spans="6:7" x14ac:dyDescent="0.3">
      <c r="F43" t="str">
        <f>IF(ISBLANK(Input!$B43),"",Input!$A43&amp;""""&amp;Input!$B43&amp;""":"&amp;Input!$C43&amp;Input!E43&amp;Input!$C43&amp;Input!$D43&amp;IF(ISBLANK(Input!$B44),"}"&amp;IF(ISBLANK(G$1),"",","),""))</f>
        <v>"fGens":{</v>
      </c>
      <c r="G43" t="str">
        <f>IF(ISBLANK(Input!$B43),"",Input!$A43&amp;""""&amp;Input!$B43&amp;""":"&amp;Input!$C43&amp;Input!F43&amp;Input!$C43&amp;Input!$D43&amp;IF(ISBLANK(Input!$B44),"}"&amp;IF(ISBLANK(H$1),"",","),""))</f>
        <v>"fGens":{</v>
      </c>
    </row>
    <row r="44" spans="6:7" x14ac:dyDescent="0.3">
      <c r="F44" t="str">
        <f>IF(ISBLANK(Input!$B44),"",Input!$A44&amp;""""&amp;Input!$B44&amp;""":"&amp;Input!$C44&amp;Input!E44&amp;Input!$C44&amp;Input!$D44&amp;IF(ISBLANK(Input!$B45),"}"&amp;IF(ISBLANK(G$1),"",","),""))</f>
        <v>"u":{</v>
      </c>
      <c r="G44" t="str">
        <f>IF(ISBLANK(Input!$B44),"",Input!$A44&amp;""""&amp;Input!$B44&amp;""":"&amp;Input!$C44&amp;Input!F44&amp;Input!$C44&amp;Input!$D44&amp;IF(ISBLANK(Input!$B45),"}"&amp;IF(ISBLANK(H$1),"",","),""))</f>
        <v>"u":{</v>
      </c>
    </row>
    <row r="45" spans="6:7" x14ac:dyDescent="0.3">
      <c r="F45" t="str">
        <f>IF(ISBLANK(Input!$B45),"",Input!$A45&amp;""""&amp;Input!$B45&amp;""":"&amp;Input!$C45&amp;Input!E45&amp;Input!$C45&amp;Input!$D45&amp;IF(ISBLANK(Input!$B46),"}"&amp;IF(ISBLANK(G$1),"",","),""))</f>
        <v>"name":"Reference, $r(t)$"}},</v>
      </c>
      <c r="G45" t="str">
        <f>IF(ISBLANK(Input!$B45),"",Input!$A45&amp;""""&amp;Input!$B45&amp;""":"&amp;Input!$C45&amp;Input!F45&amp;Input!$C45&amp;Input!$D45&amp;IF(ISBLANK(Input!$B46),"}"&amp;IF(ISBLANK(H$1),"",","),""))</f>
        <v>"name":"Referencia, $r(t)$"}},</v>
      </c>
    </row>
    <row r="46" spans="6:7" x14ac:dyDescent="0.3">
      <c r="F46" t="str">
        <f>IF(ISBLANK(Input!$B46),"",Input!$A46&amp;""""&amp;Input!$B46&amp;""":"&amp;Input!$C46&amp;Input!E46&amp;Input!$C46&amp;Input!$D46&amp;IF(ISBLANK(Input!$B47),"}"&amp;IF(ISBLANK(G$1),"",","),""))</f>
        <v>"inputs":{</v>
      </c>
      <c r="G46" t="str">
        <f>IF(ISBLANK(Input!$B46),"",Input!$A46&amp;""""&amp;Input!$B46&amp;""":"&amp;Input!$C46&amp;Input!F46&amp;Input!$C46&amp;Input!$D46&amp;IF(ISBLANK(Input!$B47),"}"&amp;IF(ISBLANK(H$1),"",","),""))</f>
        <v>"inputs":{</v>
      </c>
    </row>
    <row r="47" spans="6:7" x14ac:dyDescent="0.3">
      <c r="F47" t="str">
        <f>IF(ISBLANK(Input!$B47),"",Input!$A47&amp;""""&amp;Input!$B47&amp;""":"&amp;Input!$C47&amp;Input!E47&amp;Input!$C47&amp;Input!$D47&amp;IF(ISBLANK(Input!$B48),"}"&amp;IF(ISBLANK(G$1),"",","),""))</f>
        <v>"in":"System output, $y(t)$"},</v>
      </c>
      <c r="G47" t="str">
        <f>IF(ISBLANK(Input!$B47),"",Input!$A47&amp;""""&amp;Input!$B47&amp;""":"&amp;Input!$C47&amp;Input!F47&amp;Input!$C47&amp;Input!$D47&amp;IF(ISBLANK(Input!$B48),"}"&amp;IF(ISBLANK(H$1),"",","),""))</f>
        <v>"in":"Salida del sistema, $y(t)$"},</v>
      </c>
    </row>
    <row r="48" spans="6:7" x14ac:dyDescent="0.3">
      <c r="F48" t="str">
        <f>IF(ISBLANK(Input!$B48),"",Input!$A48&amp;""""&amp;Input!$B48&amp;""":"&amp;Input!$C48&amp;Input!E48&amp;Input!$C48&amp;Input!$D48&amp;IF(ISBLANK(Input!$B49),"}"&amp;IF(ISBLANK(G$1),"",","),""))</f>
        <v>"outputs":{</v>
      </c>
      <c r="G48" t="str">
        <f>IF(ISBLANK(Input!$B48),"",Input!$A48&amp;""""&amp;Input!$B48&amp;""":"&amp;Input!$C48&amp;Input!F48&amp;Input!$C48&amp;Input!$D48&amp;IF(ISBLANK(Input!$B49),"}"&amp;IF(ISBLANK(H$1),"",","),""))</f>
        <v>"outputs":{</v>
      </c>
    </row>
    <row r="49" spans="6:7" x14ac:dyDescent="0.3">
      <c r="F49" t="str">
        <f>IF(ISBLANK(Input!$B49),"",Input!$A49&amp;""""&amp;Input!$B49&amp;""":"&amp;Input!$C49&amp;Input!E49&amp;Input!$C49&amp;Input!$D49&amp;IF(ISBLANK(Input!$B50),"}"&amp;IF(ISBLANK(G$1),"",","),""))</f>
        <v>"out":"Control signal, $u(t)$"}}},</v>
      </c>
      <c r="G49" t="str">
        <f>IF(ISBLANK(Input!$B49),"",Input!$A49&amp;""""&amp;Input!$B49&amp;""":"&amp;Input!$C49&amp;Input!F49&amp;Input!$C49&amp;Input!$D49&amp;IF(ISBLANK(Input!$B50),"}"&amp;IF(ISBLANK(H$1),"",","),""))</f>
        <v>"out":"Siñal de control, $u(t)$"}}},</v>
      </c>
    </row>
    <row r="50" spans="6:7" x14ac:dyDescent="0.3">
      <c r="F50" t="str">
        <f>IF(ISBLANK(Input!$B50),"",Input!$A50&amp;""""&amp;Input!$B50&amp;""":"&amp;Input!$C50&amp;Input!E50&amp;Input!$C50&amp;Input!$D50&amp;IF(ISBLANK(Input!$B51),"}"&amp;IF(ISBLANK(G$1),"",","),""))</f>
        <v>"mTabs":{</v>
      </c>
      <c r="G50" t="str">
        <f>IF(ISBLANK(Input!$B50),"",Input!$A50&amp;""""&amp;Input!$B50&amp;""":"&amp;Input!$C50&amp;Input!F50&amp;Input!$C50&amp;Input!$D50&amp;IF(ISBLANK(Input!$B51),"}"&amp;IF(ISBLANK(H$1),"",","),""))</f>
        <v>"mTabs":{</v>
      </c>
    </row>
    <row r="51" spans="6:7" x14ac:dyDescent="0.3">
      <c r="F51" t="str">
        <f>IF(ISBLANK(Input!$B51),"",Input!$A51&amp;""""&amp;Input!$B51&amp;""":"&amp;Input!$C51&amp;Input!E51&amp;Input!$C51&amp;Input!$D51&amp;IF(ISBLANK(Input!$B52),"}"&amp;IF(ISBLANK(G$1),"",","),""))</f>
        <v>"mModel":"Mathematical model",</v>
      </c>
      <c r="G51" t="str">
        <f>IF(ISBLANK(Input!$B51),"",Input!$A51&amp;""""&amp;Input!$B51&amp;""":"&amp;Input!$C51&amp;Input!F51&amp;Input!$C51&amp;Input!$D51&amp;IF(ISBLANK(Input!$B52),"}"&amp;IF(ISBLANK(H$1),"",","),""))</f>
        <v>"mModel":"Modelo matemático",</v>
      </c>
    </row>
    <row r="52" spans="6:7" x14ac:dyDescent="0.3">
      <c r="F52" t="str">
        <f>IF(ISBLANK(Input!$B52),"",Input!$A52&amp;""""&amp;Input!$B52&amp;""":"&amp;Input!$C52&amp;Input!E52&amp;Input!$C52&amp;Input!$D52&amp;IF(ISBLANK(Input!$B53),"}"&amp;IF(ISBLANK(G$1),"",","),""))</f>
        <v>"bridgeDevice":"Bridge device configuration",</v>
      </c>
      <c r="G52" t="str">
        <f>IF(ISBLANK(Input!$B52),"",Input!$A52&amp;""""&amp;Input!$B52&amp;""":"&amp;Input!$C52&amp;Input!F52&amp;Input!$C52&amp;Input!$D52&amp;IF(ISBLANK(Input!$B53),"}"&amp;IF(ISBLANK(H$1),"",","),""))</f>
        <v>"bridgeDevice":"Configuración del dispositivo puente",</v>
      </c>
    </row>
    <row r="53" spans="6:7" x14ac:dyDescent="0.3">
      <c r="F53" t="str">
        <f>IF(ISBLANK(Input!$B53),"",Input!$A53&amp;""""&amp;Input!$B53&amp;""":"&amp;Input!$C53&amp;Input!E53&amp;Input!$C53&amp;Input!$D53&amp;IF(ISBLANK(Input!$B54),"}"&amp;IF(ISBLANK(G$1),"",","),""))</f>
        <v>"params":"Simulation parameters",</v>
      </c>
      <c r="G53" t="str">
        <f>IF(ISBLANK(Input!$B53),"",Input!$A53&amp;""""&amp;Input!$B53&amp;""":"&amp;Input!$C53&amp;Input!F53&amp;Input!$C53&amp;Input!$D53&amp;IF(ISBLANK(Input!$B54),"}"&amp;IF(ISBLANK(H$1),"",","),""))</f>
        <v>"params":"Parámetros de simulación",</v>
      </c>
    </row>
    <row r="54" spans="6:7" x14ac:dyDescent="0.3">
      <c r="F54" t="str">
        <f>IF(ISBLANK(Input!$B54),"",Input!$A54&amp;""""&amp;Input!$B54&amp;""":"&amp;Input!$C54&amp;Input!E54&amp;Input!$C54&amp;Input!$D54&amp;IF(ISBLANK(Input!$B55),"}"&amp;IF(ISBLANK(G$1),"",","),""))</f>
        <v>"fGens":"Function generator(s)",</v>
      </c>
      <c r="G54" t="str">
        <f>IF(ISBLANK(Input!$B54),"",Input!$A54&amp;""""&amp;Input!$B54&amp;""":"&amp;Input!$C54&amp;Input!F54&amp;Input!$C54&amp;Input!$D54&amp;IF(ISBLANK(Input!$B55),"}"&amp;IF(ISBLANK(H$1),"",","),""))</f>
        <v>"fGens":"Generador(es) de funciones",</v>
      </c>
    </row>
    <row r="55" spans="6:7" x14ac:dyDescent="0.3">
      <c r="F55" t="str">
        <f>IF(ISBLANK(Input!$B55),"",Input!$A55&amp;""""&amp;Input!$B55&amp;""":"&amp;Input!$C55&amp;Input!E55&amp;Input!$C55&amp;Input!$D55&amp;IF(ISBLANK(Input!$B56),"}"&amp;IF(ISBLANK(G$1),"",","),""))</f>
        <v>"graphs":"Graphs",</v>
      </c>
      <c r="G55" t="str">
        <f>IF(ISBLANK(Input!$B55),"",Input!$A55&amp;""""&amp;Input!$B55&amp;""":"&amp;Input!$C55&amp;Input!F55&amp;Input!$C55&amp;Input!$D55&amp;IF(ISBLANK(Input!$B56),"}"&amp;IF(ISBLANK(H$1),"",","),""))</f>
        <v>"graphs":"Gráficos",</v>
      </c>
    </row>
    <row r="56" spans="6:7" x14ac:dyDescent="0.3">
      <c r="F56" t="str">
        <f>IF(ISBLANK(Input!$B56),"",Input!$A56&amp;""""&amp;Input!$B56&amp;""":"&amp;Input!$C56&amp;Input!E56&amp;Input!$C56&amp;Input!$D56&amp;IF(ISBLANK(Input!$B57),"}"&amp;IF(ISBLANK(G$1),"",","),""))</f>
        <v>"errors":"Errors"},</v>
      </c>
      <c r="G56" t="str">
        <f>IF(ISBLANK(Input!$B56),"",Input!$A56&amp;""""&amp;Input!$B56&amp;""":"&amp;Input!$C56&amp;Input!F56&amp;Input!$C56&amp;Input!$D56&amp;IF(ISBLANK(Input!$B57),"}"&amp;IF(ISBLANK(H$1),"",","),""))</f>
        <v>"errors":"Errores"},</v>
      </c>
    </row>
    <row r="57" spans="6:7" x14ac:dyDescent="0.3">
      <c r="F57" t="str">
        <f>IF(ISBLANK(Input!$B57),"",Input!$A57&amp;""""&amp;Input!$B57&amp;""":"&amp;Input!$C57&amp;Input!E57&amp;Input!$C57&amp;Input!$D57&amp;IF(ISBLANK(Input!$B58),"}"&amp;IF(ISBLANK(G$1),"",","),""))</f>
        <v>"bridge":{</v>
      </c>
      <c r="G57" t="str">
        <f>IF(ISBLANK(Input!$B57),"",Input!$A57&amp;""""&amp;Input!$B57&amp;""":"&amp;Input!$C57&amp;Input!F57&amp;Input!$C57&amp;Input!$D57&amp;IF(ISBLANK(Input!$B58),"}"&amp;IF(ISBLANK(H$1),"",","),""))</f>
        <v>"bridge":{</v>
      </c>
    </row>
    <row r="58" spans="6:7" x14ac:dyDescent="0.3">
      <c r="F58" t="str">
        <f>IF(ISBLANK(Input!$B58),"",Input!$A58&amp;""""&amp;Input!$B58&amp;""":"&amp;Input!$C58&amp;Input!E58&amp;Input!$C58&amp;Input!$D58&amp;IF(ISBLANK(Input!$B59),"}"&amp;IF(ISBLANK(G$1),"",","),""))</f>
        <v>"iTypeName":"Input type",</v>
      </c>
      <c r="G58" t="str">
        <f>IF(ISBLANK(Input!$B58),"",Input!$A58&amp;""""&amp;Input!$B58&amp;""":"&amp;Input!$C58&amp;Input!F58&amp;Input!$C58&amp;Input!$D58&amp;IF(ISBLANK(Input!$B59),"}"&amp;IF(ISBLANK(H$1),"",","),""))</f>
        <v>"iTypeName":"Tipo de entrada",</v>
      </c>
    </row>
    <row r="59" spans="6:7" x14ac:dyDescent="0.3">
      <c r="F59" t="str">
        <f>IF(ISBLANK(Input!$B59),"",Input!$A59&amp;""""&amp;Input!$B59&amp;""":"&amp;Input!$C59&amp;Input!E59&amp;Input!$C59&amp;Input!$D59&amp;IF(ISBLANK(Input!$B60),"}"&amp;IF(ISBLANK(G$1),"",","),""))</f>
        <v>"iTypes":{</v>
      </c>
      <c r="G59" t="str">
        <f>IF(ISBLANK(Input!$B59),"",Input!$A59&amp;""""&amp;Input!$B59&amp;""":"&amp;Input!$C59&amp;Input!F59&amp;Input!$C59&amp;Input!$D59&amp;IF(ISBLANK(Input!$B60),"}"&amp;IF(ISBLANK(H$1),"",","),""))</f>
        <v>"iTypes":{</v>
      </c>
    </row>
    <row r="60" spans="6:7" x14ac:dyDescent="0.3">
      <c r="F60" t="str">
        <f>IF(ISBLANK(Input!$B60),"",Input!$A60&amp;""""&amp;Input!$B60&amp;""":"&amp;Input!$C60&amp;Input!E60&amp;Input!$C60&amp;Input!$D60&amp;IF(ISBLANK(Input!$B61),"}"&amp;IF(ISBLANK(G$1),"",","),""))</f>
        <v>"analog":"Analog voltage",</v>
      </c>
      <c r="G60" t="str">
        <f>IF(ISBLANK(Input!$B60),"",Input!$A60&amp;""""&amp;Input!$B60&amp;""":"&amp;Input!$C60&amp;Input!F60&amp;Input!$C60&amp;Input!$D60&amp;IF(ISBLANK(Input!$B61),"}"&amp;IF(ISBLANK(H$1),"",","),""))</f>
        <v>"analog":"Voltaje análogo",</v>
      </c>
    </row>
    <row r="61" spans="6:7" x14ac:dyDescent="0.3">
      <c r="F61" t="str">
        <f>IF(ISBLANK(Input!$B61),"",Input!$A61&amp;""""&amp;Input!$B61&amp;""":"&amp;Input!$C61&amp;Input!E61&amp;Input!$C61&amp;Input!$D61&amp;IF(ISBLANK(Input!$B62),"}"&amp;IF(ISBLANK(G$1),"",","),""))</f>
        <v>"encoder":"Encoder",</v>
      </c>
      <c r="G61" t="str">
        <f>IF(ISBLANK(Input!$B61),"",Input!$A61&amp;""""&amp;Input!$B61&amp;""":"&amp;Input!$C61&amp;Input!F61&amp;Input!$C61&amp;Input!$D61&amp;IF(ISBLANK(Input!$B62),"}"&amp;IF(ISBLANK(H$1),"",","),""))</f>
        <v>"encoder":"Codificador",</v>
      </c>
    </row>
    <row r="62" spans="6:7" x14ac:dyDescent="0.3">
      <c r="F62" t="str">
        <f>IF(ISBLANK(Input!$B62),"",Input!$A62&amp;""""&amp;Input!$B62&amp;""":"&amp;Input!$C62&amp;Input!E62&amp;Input!$C62&amp;Input!$D62&amp;IF(ISBLANK(Input!$B63),"}"&amp;IF(ISBLANK(G$1),"",","),""))</f>
        <v>"temp":"Temperature sensor",</v>
      </c>
      <c r="G62" t="str">
        <f>IF(ISBLANK(Input!$B62),"",Input!$A62&amp;""""&amp;Input!$B62&amp;""":"&amp;Input!$C62&amp;Input!F62&amp;Input!$C62&amp;Input!$D62&amp;IF(ISBLANK(Input!$B63),"}"&amp;IF(ISBLANK(H$1),"",","),""))</f>
        <v>"temp":"Sensor de temperatura",</v>
      </c>
    </row>
    <row r="63" spans="6:7" x14ac:dyDescent="0.3">
      <c r="F63" t="str">
        <f>IF(ISBLANK(Input!$B63),"",Input!$A63&amp;""""&amp;Input!$B63&amp;""":"&amp;Input!$C63&amp;Input!E63&amp;Input!$C63&amp;Input!$D63&amp;IF(ISBLANK(Input!$B64),"}"&amp;IF(ISBLANK(G$1),"",","),""))</f>
        <v>"humidity":"Humidity sensor",</v>
      </c>
      <c r="G63" t="str">
        <f>IF(ISBLANK(Input!$B63),"",Input!$A63&amp;""""&amp;Input!$B63&amp;""":"&amp;Input!$C63&amp;Input!F63&amp;Input!$C63&amp;Input!$D63&amp;IF(ISBLANK(Input!$B64),"}"&amp;IF(ISBLANK(H$1),"",","),""))</f>
        <v>"humidity":"Sensor de humedad",</v>
      </c>
    </row>
    <row r="64" spans="6:7" x14ac:dyDescent="0.3">
      <c r="F64" t="str">
        <f>IF(ISBLANK(Input!$B64),"",Input!$A64&amp;""""&amp;Input!$B64&amp;""":"&amp;Input!$C64&amp;Input!E64&amp;Input!$C64&amp;Input!$D64&amp;IF(ISBLANK(Input!$B65),"}"&amp;IF(ISBLANK(G$1),"",","),""))</f>
        <v>"current":"Aanalog current",</v>
      </c>
      <c r="G64" t="str">
        <f>IF(ISBLANK(Input!$B64),"",Input!$A64&amp;""""&amp;Input!$B64&amp;""":"&amp;Input!$C64&amp;Input!F64&amp;Input!$C64&amp;Input!$D64&amp;IF(ISBLANK(Input!$B65),"}"&amp;IF(ISBLANK(H$1),"",","),""))</f>
        <v>"current":"Aanalog actual",</v>
      </c>
    </row>
    <row r="65" spans="6:7" x14ac:dyDescent="0.3">
      <c r="F65" t="str">
        <f>IF(ISBLANK(Input!$B65),"",Input!$A65&amp;""""&amp;Input!$B65&amp;""":"&amp;Input!$C65&amp;Input!E65&amp;Input!$C65&amp;Input!$D65&amp;IF(ISBLANK(Input!$B66),"}"&amp;IF(ISBLANK(G$1),"",","),""))</f>
        <v>"light":"Light sensor"},</v>
      </c>
      <c r="G65" t="str">
        <f>IF(ISBLANK(Input!$B65),"",Input!$A65&amp;""""&amp;Input!$B65&amp;""":"&amp;Input!$C65&amp;Input!F65&amp;Input!$C65&amp;Input!$D65&amp;IF(ISBLANK(Input!$B66),"}"&amp;IF(ISBLANK(H$1),"",","),""))</f>
        <v>"light":"Sensor de luz"},</v>
      </c>
    </row>
    <row r="66" spans="6:7" x14ac:dyDescent="0.3">
      <c r="F66" t="str">
        <f>IF(ISBLANK(Input!$B66),"",Input!$A66&amp;""""&amp;Input!$B66&amp;""":"&amp;Input!$C66&amp;Input!E66&amp;Input!$C66&amp;Input!$D66&amp;IF(ISBLANK(Input!$B67),"}"&amp;IF(ISBLANK(G$1),"",","),""))</f>
        <v>"oTypeName":"Output type",</v>
      </c>
      <c r="G66" t="str">
        <f>IF(ISBLANK(Input!$B66),"",Input!$A66&amp;""""&amp;Input!$B66&amp;""":"&amp;Input!$C66&amp;Input!F66&amp;Input!$C66&amp;Input!$D66&amp;IF(ISBLANK(Input!$B67),"}"&amp;IF(ISBLANK(H$1),"",","),""))</f>
        <v>"oTypeName":"Tipo de salida",</v>
      </c>
    </row>
    <row r="67" spans="6:7" x14ac:dyDescent="0.3">
      <c r="F67" t="str">
        <f>IF(ISBLANK(Input!$B67),"",Input!$A67&amp;""""&amp;Input!$B67&amp;""":"&amp;Input!$C67&amp;Input!E67&amp;Input!$C67&amp;Input!$D67&amp;IF(ISBLANK(Input!$B68),"}"&amp;IF(ISBLANK(G$1),"",","),""))</f>
        <v>"oTypes":{</v>
      </c>
      <c r="G67" t="str">
        <f>IF(ISBLANK(Input!$B67),"",Input!$A67&amp;""""&amp;Input!$B67&amp;""":"&amp;Input!$C67&amp;Input!F67&amp;Input!$C67&amp;Input!$D67&amp;IF(ISBLANK(Input!$B68),"}"&amp;IF(ISBLANK(H$1),"",","),""))</f>
        <v>"oTypes":{</v>
      </c>
    </row>
    <row r="68" spans="6:7" x14ac:dyDescent="0.3">
      <c r="F68" t="str">
        <f>IF(ISBLANK(Input!$B68),"",Input!$A68&amp;""""&amp;Input!$B68&amp;""":"&amp;Input!$C68&amp;Input!E68&amp;Input!$C68&amp;Input!$D68&amp;IF(ISBLANK(Input!$B69),"}"&amp;IF(ISBLANK(G$1),"",","),""))</f>
        <v>"dc0":"Pulsed DC voltage out Ch00",</v>
      </c>
      <c r="G68" t="str">
        <f>IF(ISBLANK(Input!$B68),"",Input!$A68&amp;""""&amp;Input!$B68&amp;""":"&amp;Input!$C68&amp;Input!F68&amp;Input!$C68&amp;Input!$D68&amp;IF(ISBLANK(Input!$B69),"}"&amp;IF(ISBLANK(H$1),"",","),""))</f>
        <v>"dc0":"Saluda de tensión DC pulsada Ch00",</v>
      </c>
    </row>
    <row r="69" spans="6:7" x14ac:dyDescent="0.3">
      <c r="F69" t="str">
        <f>IF(ISBLANK(Input!$B69),"",Input!$A69&amp;""""&amp;Input!$B69&amp;""":"&amp;Input!$C69&amp;Input!E69&amp;Input!$C69&amp;Input!$D69&amp;IF(ISBLANK(Input!$B70),"}"&amp;IF(ISBLANK(G$1),"",","),""))</f>
        <v>"dc1":"Pulsed DC voltage out Ch01",</v>
      </c>
      <c r="G69" t="str">
        <f>IF(ISBLANK(Input!$B69),"",Input!$A69&amp;""""&amp;Input!$B69&amp;""":"&amp;Input!$C69&amp;Input!F69&amp;Input!$C69&amp;Input!$D69&amp;IF(ISBLANK(Input!$B70),"}"&amp;IF(ISBLANK(H$1),"",","),""))</f>
        <v>"dc1":"Saluda de tensión DC pulsada Ch01",</v>
      </c>
    </row>
    <row r="70" spans="6:7" x14ac:dyDescent="0.3">
      <c r="F70" t="str">
        <f>IF(ISBLANK(Input!$B70),"",Input!$A70&amp;""""&amp;Input!$B70&amp;""":"&amp;Input!$C70&amp;Input!E70&amp;Input!$C70&amp;Input!$D70&amp;IF(ISBLANK(Input!$B71),"}"&amp;IF(ISBLANK(G$1),"",","),""))</f>
        <v>"ac0":"Pulsed AC voltage out Ch00",</v>
      </c>
      <c r="G70" t="str">
        <f>IF(ISBLANK(Input!$B70),"",Input!$A70&amp;""""&amp;Input!$B70&amp;""":"&amp;Input!$C70&amp;Input!F70&amp;Input!$C70&amp;Input!$D70&amp;IF(ISBLANK(Input!$B71),"}"&amp;IF(ISBLANK(H$1),"",","),""))</f>
        <v>"ac0":"Saluda de tensión AC pulsada Ch00",</v>
      </c>
    </row>
    <row r="71" spans="6:7" x14ac:dyDescent="0.3">
      <c r="F71" t="str">
        <f>IF(ISBLANK(Input!$B71),"",Input!$A71&amp;""""&amp;Input!$B71&amp;""":"&amp;Input!$C71&amp;Input!E71&amp;Input!$C71&amp;Input!$D71&amp;IF(ISBLANK(Input!$B72),"}"&amp;IF(ISBLANK(G$1),"",","),""))</f>
        <v>"ac1":"Pulsed AC voltage out Ch01"}},</v>
      </c>
      <c r="G71" t="str">
        <f>IF(ISBLANK(Input!$B71),"",Input!$A71&amp;""""&amp;Input!$B71&amp;""":"&amp;Input!$C71&amp;Input!F71&amp;Input!$C71&amp;Input!$D71&amp;IF(ISBLANK(Input!$B72),"}"&amp;IF(ISBLANK(H$1),"",","),""))</f>
        <v>"ac1":"Saluda de tensión AC pulsada Ch01"}},</v>
      </c>
    </row>
    <row r="72" spans="6:7" x14ac:dyDescent="0.3">
      <c r="F72" t="str">
        <f>IF(ISBLANK(Input!$B72),"",Input!$A72&amp;""""&amp;Input!$B72&amp;""":"&amp;Input!$C72&amp;Input!E72&amp;Input!$C72&amp;Input!$D72&amp;IF(ISBLANK(Input!$B73),"}"&amp;IF(ISBLANK(G$1),"",","),""))</f>
        <v>"offset":"Offset",</v>
      </c>
      <c r="G72" t="str">
        <f>IF(ISBLANK(Input!$B72),"",Input!$A72&amp;""""&amp;Input!$B72&amp;""":"&amp;Input!$C72&amp;Input!F72&amp;Input!$C72&amp;Input!$D72&amp;IF(ISBLANK(Input!$B73),"}"&amp;IF(ISBLANK(H$1),"",","),""))</f>
        <v>"offset":"Offset",</v>
      </c>
    </row>
    <row r="73" spans="6:7" x14ac:dyDescent="0.3">
      <c r="F73" t="str">
        <f>IF(ISBLANK(Input!$B73),"",Input!$A73&amp;""""&amp;Input!$B73&amp;""":"&amp;Input!$C73&amp;Input!E73&amp;Input!$C73&amp;Input!$D73&amp;IF(ISBLANK(Input!$B74),"}"&amp;IF(ISBLANK(G$1),"",","),""))</f>
        <v>"gain":"Gain",</v>
      </c>
      <c r="G73" t="str">
        <f>IF(ISBLANK(Input!$B73),"",Input!$A73&amp;""""&amp;Input!$B73&amp;""":"&amp;Input!$C73&amp;Input!F73&amp;Input!$C73&amp;Input!$D73&amp;IF(ISBLANK(Input!$B74),"}"&amp;IF(ISBLANK(H$1),"",","),""))</f>
        <v>"gain":"Ganancia",</v>
      </c>
    </row>
    <row r="74" spans="6:7" x14ac:dyDescent="0.3">
      <c r="F74" t="str">
        <f>IF(ISBLANK(Input!$B74),"",Input!$A74&amp;""""&amp;Input!$B74&amp;""":"&amp;Input!$C74&amp;Input!E74&amp;Input!$C74&amp;Input!$D74&amp;IF(ISBLANK(Input!$B75),"}"&amp;IF(ISBLANK(G$1),"",","),""))</f>
        <v>"aSelection":"Algorithm selection",</v>
      </c>
      <c r="G74" t="str">
        <f>IF(ISBLANK(Input!$B74),"",Input!$A74&amp;""""&amp;Input!$B74&amp;""":"&amp;Input!$C74&amp;Input!F74&amp;Input!$C74&amp;Input!$D74&amp;IF(ISBLANK(Input!$B75),"}"&amp;IF(ISBLANK(H$1),"",","),""))</f>
        <v>"aSelection":"Selección de algoritmo",</v>
      </c>
    </row>
    <row r="75" spans="6:7" x14ac:dyDescent="0.3">
      <c r="F75" t="str">
        <f>IF(ISBLANK(Input!$B75),"",Input!$A75&amp;""""&amp;Input!$B75&amp;""":"&amp;Input!$C75&amp;Input!E75&amp;Input!$C75&amp;Input!$D75&amp;IF(ISBLANK(Input!$B76),"}"&amp;IF(ISBLANK(G$1),"",","),""))</f>
        <v>"noParams":"Parameters are unavailable for the selected algorithm.",</v>
      </c>
      <c r="G75" t="str">
        <f>IF(ISBLANK(Input!$B75),"",Input!$A75&amp;""""&amp;Input!$B75&amp;""":"&amp;Input!$C75&amp;Input!F75&amp;Input!$C75&amp;Input!$D75&amp;IF(ISBLANK(Input!$B76),"}"&amp;IF(ISBLANK(H$1),"",","),""))</f>
        <v>"noParams":"Los parámetros no están disponibles para el algoritmo seleccionado.",</v>
      </c>
    </row>
    <row r="76" spans="6:7" x14ac:dyDescent="0.3">
      <c r="F76" t="str">
        <f>IF(ISBLANK(Input!$B76),"",Input!$A76&amp;""""&amp;Input!$B76&amp;""":"&amp;Input!$C76&amp;Input!E76&amp;Input!$C76&amp;Input!$D76&amp;IF(ISBLANK(Input!$B77),"}"&amp;IF(ISBLANK(G$1),"",","),""))</f>
        <v>"fGens":{</v>
      </c>
      <c r="G76" t="str">
        <f>IF(ISBLANK(Input!$B76),"",Input!$A76&amp;""""&amp;Input!$B76&amp;""":"&amp;Input!$C76&amp;Input!F76&amp;Input!$C76&amp;Input!$D76&amp;IF(ISBLANK(Input!$B77),"}"&amp;IF(ISBLANK(H$1),"",","),""))</f>
        <v>"fGens":{</v>
      </c>
    </row>
    <row r="77" spans="6:7" x14ac:dyDescent="0.3">
      <c r="F77" t="str">
        <f>IF(ISBLANK(Input!$B77),"",Input!$A77&amp;""""&amp;Input!$B77&amp;""":"&amp;Input!$C77&amp;Input!E77&amp;Input!$C77&amp;Input!$D77&amp;IF(ISBLANK(Input!$B78),"}"&amp;IF(ISBLANK(G$1),"",","),""))</f>
        <v>"params":{</v>
      </c>
      <c r="G77" t="str">
        <f>IF(ISBLANK(Input!$B77),"",Input!$A77&amp;""""&amp;Input!$B77&amp;""":"&amp;Input!$C77&amp;Input!F77&amp;Input!$C77&amp;Input!$D77&amp;IF(ISBLANK(Input!$B78),"}"&amp;IF(ISBLANK(H$1),"",","),""))</f>
        <v>"params":{</v>
      </c>
    </row>
    <row r="78" spans="6:7" x14ac:dyDescent="0.3">
      <c r="F78" t="str">
        <f>IF(ISBLANK(Input!$B78),"",Input!$A78&amp;""""&amp;Input!$B78&amp;""":"&amp;Input!$C78&amp;Input!E78&amp;Input!$C78&amp;Input!$D78&amp;IF(ISBLANK(Input!$B79),"}"&amp;IF(ISBLANK(G$1),"",","),""))</f>
        <v>"amp":{</v>
      </c>
      <c r="G78" t="str">
        <f>IF(ISBLANK(Input!$B78),"",Input!$A78&amp;""""&amp;Input!$B78&amp;""":"&amp;Input!$C78&amp;Input!F78&amp;Input!$C78&amp;Input!$D78&amp;IF(ISBLANK(Input!$B79),"}"&amp;IF(ISBLANK(H$1),"",","),""))</f>
        <v>"amp":{</v>
      </c>
    </row>
    <row r="79" spans="6:7" x14ac:dyDescent="0.3">
      <c r="F79" t="str">
        <f>IF(ISBLANK(Input!$B79),"",Input!$A79&amp;""""&amp;Input!$B79&amp;""":"&amp;Input!$C79&amp;Input!E79&amp;Input!$C79&amp;Input!$D79&amp;IF(ISBLANK(Input!$B80),"}"&amp;IF(ISBLANK(G$1),"",","),""))</f>
        <v>"name":"Amplitude",</v>
      </c>
      <c r="G79" t="str">
        <f>IF(ISBLANK(Input!$B79),"",Input!$A79&amp;""""&amp;Input!$B79&amp;""":"&amp;Input!$C79&amp;Input!F79&amp;Input!$C79&amp;Input!$D79&amp;IF(ISBLANK(Input!$B80),"}"&amp;IF(ISBLANK(H$1),"",","),""))</f>
        <v>"name":"Amplitude",</v>
      </c>
    </row>
    <row r="80" spans="6:7" x14ac:dyDescent="0.3">
      <c r="F80" t="str">
        <f>IF(ISBLANK(Input!$B80),"",Input!$A80&amp;""""&amp;Input!$B80&amp;""":"&amp;Input!$C80&amp;Input!E80&amp;Input!$C80&amp;Input!$D80&amp;IF(ISBLANK(Input!$B81),"}"&amp;IF(ISBLANK(G$1),"",","),""))</f>
        <v>"val":1,</v>
      </c>
      <c r="G80" t="str">
        <f>IF(ISBLANK(Input!$B80),"",Input!$A80&amp;""""&amp;Input!$B80&amp;""":"&amp;Input!$C80&amp;Input!F80&amp;Input!$C80&amp;Input!$D80&amp;IF(ISBLANK(Input!$B81),"}"&amp;IF(ISBLANK(H$1),"",","),""))</f>
        <v>"val":1,</v>
      </c>
    </row>
    <row r="81" spans="6:7" x14ac:dyDescent="0.3">
      <c r="F81" t="str">
        <f>IF(ISBLANK(Input!$B81),"",Input!$A81&amp;""""&amp;Input!$B81&amp;""":"&amp;Input!$C81&amp;Input!E81&amp;Input!$C81&amp;Input!$D81&amp;IF(ISBLANK(Input!$B82),"}"&amp;IF(ISBLANK(G$1),"",","),""))</f>
        <v>"min":0,</v>
      </c>
      <c r="G81" t="str">
        <f>IF(ISBLANK(Input!$B81),"",Input!$A81&amp;""""&amp;Input!$B81&amp;""":"&amp;Input!$C81&amp;Input!F81&amp;Input!$C81&amp;Input!$D81&amp;IF(ISBLANK(Input!$B82),"}"&amp;IF(ISBLANK(H$1),"",","),""))</f>
        <v>"min":0,</v>
      </c>
    </row>
    <row r="82" spans="6:7" x14ac:dyDescent="0.3">
      <c r="F82" t="str">
        <f>IF(ISBLANK(Input!$B82),"",Input!$A82&amp;""""&amp;Input!$B82&amp;""":"&amp;Input!$C82&amp;Input!E82&amp;Input!$C82&amp;Input!$D82&amp;IF(ISBLANK(Input!$B83),"}"&amp;IF(ISBLANK(G$1),"",","),""))</f>
        <v>"max":Infinity},</v>
      </c>
      <c r="G82" t="str">
        <f>IF(ISBLANK(Input!$B82),"",Input!$A82&amp;""""&amp;Input!$B82&amp;""":"&amp;Input!$C82&amp;Input!F82&amp;Input!$C82&amp;Input!$D82&amp;IF(ISBLANK(Input!$B83),"}"&amp;IF(ISBLANK(H$1),"",","),""))</f>
        <v>"max":Infinity},</v>
      </c>
    </row>
    <row r="83" spans="6:7" x14ac:dyDescent="0.3">
      <c r="F83" t="str">
        <f>IF(ISBLANK(Input!$B83),"",Input!$A83&amp;""""&amp;Input!$B83&amp;""":"&amp;Input!$C83&amp;Input!E83&amp;Input!$C83&amp;Input!$D83&amp;IF(ISBLANK(Input!$B84),"}"&amp;IF(ISBLANK(G$1),"",","),""))</f>
        <v>"freq":{</v>
      </c>
      <c r="G83" t="str">
        <f>IF(ISBLANK(Input!$B83),"",Input!$A83&amp;""""&amp;Input!$B83&amp;""":"&amp;Input!$C83&amp;Input!F83&amp;Input!$C83&amp;Input!$D83&amp;IF(ISBLANK(Input!$B84),"}"&amp;IF(ISBLANK(H$1),"",","),""))</f>
        <v>"freq":{</v>
      </c>
    </row>
    <row r="84" spans="6:7" x14ac:dyDescent="0.3">
      <c r="F84" t="str">
        <f>IF(ISBLANK(Input!$B84),"",Input!$A84&amp;""""&amp;Input!$B84&amp;""":"&amp;Input!$C84&amp;Input!E84&amp;Input!$C84&amp;Input!$D84&amp;IF(ISBLANK(Input!$B85),"}"&amp;IF(ISBLANK(G$1),"",","),""))</f>
        <v>"name":"Frequency",</v>
      </c>
      <c r="G84" t="str">
        <f>IF(ISBLANK(Input!$B84),"",Input!$A84&amp;""""&amp;Input!$B84&amp;""":"&amp;Input!$C84&amp;Input!F84&amp;Input!$C84&amp;Input!$D84&amp;IF(ISBLANK(Input!$B85),"}"&amp;IF(ISBLANK(H$1),"",","),""))</f>
        <v>"name":"Frequency",</v>
      </c>
    </row>
    <row r="85" spans="6:7" x14ac:dyDescent="0.3">
      <c r="F85" t="str">
        <f>IF(ISBLANK(Input!$B85),"",Input!$A85&amp;""""&amp;Input!$B85&amp;""":"&amp;Input!$C85&amp;Input!E85&amp;Input!$C85&amp;Input!$D85&amp;IF(ISBLANK(Input!$B86),"}"&amp;IF(ISBLANK(G$1),"",","),""))</f>
        <v>"val":1,</v>
      </c>
      <c r="G85" t="str">
        <f>IF(ISBLANK(Input!$B85),"",Input!$A85&amp;""""&amp;Input!$B85&amp;""":"&amp;Input!$C85&amp;Input!F85&amp;Input!$C85&amp;Input!$D85&amp;IF(ISBLANK(Input!$B86),"}"&amp;IF(ISBLANK(H$1),"",","),""))</f>
        <v>"val":1,</v>
      </c>
    </row>
    <row r="86" spans="6:7" x14ac:dyDescent="0.3">
      <c r="F86" t="str">
        <f>IF(ISBLANK(Input!$B86),"",Input!$A86&amp;""""&amp;Input!$B86&amp;""":"&amp;Input!$C86&amp;Input!E86&amp;Input!$C86&amp;Input!$D86&amp;IF(ISBLANK(Input!$B87),"}"&amp;IF(ISBLANK(G$1),"",","),""))</f>
        <v>"min":0,</v>
      </c>
      <c r="G86" t="str">
        <f>IF(ISBLANK(Input!$B86),"",Input!$A86&amp;""""&amp;Input!$B86&amp;""":"&amp;Input!$C86&amp;Input!F86&amp;Input!$C86&amp;Input!$D86&amp;IF(ISBLANK(Input!$B87),"}"&amp;IF(ISBLANK(H$1),"",","),""))</f>
        <v>"min":0,</v>
      </c>
    </row>
    <row r="87" spans="6:7" x14ac:dyDescent="0.3">
      <c r="F87" t="str">
        <f>IF(ISBLANK(Input!$B87),"",Input!$A87&amp;""""&amp;Input!$B87&amp;""":"&amp;Input!$C87&amp;Input!E87&amp;Input!$C87&amp;Input!$D87&amp;IF(ISBLANK(Input!$B88),"}"&amp;IF(ISBLANK(G$1),"",","),""))</f>
        <v>"max":Infinity},</v>
      </c>
      <c r="G87" t="str">
        <f>IF(ISBLANK(Input!$B87),"",Input!$A87&amp;""""&amp;Input!$B87&amp;""":"&amp;Input!$C87&amp;Input!F87&amp;Input!$C87&amp;Input!$D87&amp;IF(ISBLANK(Input!$B88),"}"&amp;IF(ISBLANK(H$1),"",","),""))</f>
        <v>"max":Infinity},</v>
      </c>
    </row>
    <row r="88" spans="6:7" x14ac:dyDescent="0.3">
      <c r="F88" t="str">
        <f>IF(ISBLANK(Input!$B88),"",Input!$A88&amp;""""&amp;Input!$B88&amp;""":"&amp;Input!$C88&amp;Input!E88&amp;Input!$C88&amp;Input!$D88&amp;IF(ISBLANK(Input!$B89),"}"&amp;IF(ISBLANK(G$1),"",","),""))</f>
        <v>"duty":{</v>
      </c>
      <c r="G88" t="str">
        <f>IF(ISBLANK(Input!$B88),"",Input!$A88&amp;""""&amp;Input!$B88&amp;""":"&amp;Input!$C88&amp;Input!F88&amp;Input!$C88&amp;Input!$D88&amp;IF(ISBLANK(Input!$B89),"}"&amp;IF(ISBLANK(H$1),"",","),""))</f>
        <v>"duty":{</v>
      </c>
    </row>
    <row r="89" spans="6:7" x14ac:dyDescent="0.3">
      <c r="F89" t="str">
        <f>IF(ISBLANK(Input!$B89),"",Input!$A89&amp;""""&amp;Input!$B89&amp;""":"&amp;Input!$C89&amp;Input!E89&amp;Input!$C89&amp;Input!$D89&amp;IF(ISBLANK(Input!$B90),"}"&amp;IF(ISBLANK(G$1),"",","),""))</f>
        <v>"name":"Duty  cycle",</v>
      </c>
      <c r="G89" t="str">
        <f>IF(ISBLANK(Input!$B89),"",Input!$A89&amp;""""&amp;Input!$B89&amp;""":"&amp;Input!$C89&amp;Input!F89&amp;Input!$C89&amp;Input!$D89&amp;IF(ISBLANK(Input!$B90),"}"&amp;IF(ISBLANK(H$1),"",","),""))</f>
        <v>"name":"Duty  cycle",</v>
      </c>
    </row>
    <row r="90" spans="6:7" x14ac:dyDescent="0.3">
      <c r="F90" t="str">
        <f>IF(ISBLANK(Input!$B90),"",Input!$A90&amp;""""&amp;Input!$B90&amp;""":"&amp;Input!$C90&amp;Input!E90&amp;Input!$C90&amp;Input!$D90&amp;IF(ISBLANK(Input!$B91),"}"&amp;IF(ISBLANK(G$1),"",","),""))</f>
        <v>"val":50,</v>
      </c>
      <c r="G90" t="str">
        <f>IF(ISBLANK(Input!$B90),"",Input!$A90&amp;""""&amp;Input!$B90&amp;""":"&amp;Input!$C90&amp;Input!F90&amp;Input!$C90&amp;Input!$D90&amp;IF(ISBLANK(Input!$B91),"}"&amp;IF(ISBLANK(H$1),"",","),""))</f>
        <v>"val":50,</v>
      </c>
    </row>
    <row r="91" spans="6:7" x14ac:dyDescent="0.3">
      <c r="F91" t="str">
        <f>IF(ISBLANK(Input!$B91),"",Input!$A91&amp;""""&amp;Input!$B91&amp;""":"&amp;Input!$C91&amp;Input!E91&amp;Input!$C91&amp;Input!$D91&amp;IF(ISBLANK(Input!$B92),"}"&amp;IF(ISBLANK(G$1),"",","),""))</f>
        <v>"min":0,</v>
      </c>
      <c r="G91" t="str">
        <f>IF(ISBLANK(Input!$B91),"",Input!$A91&amp;""""&amp;Input!$B91&amp;""":"&amp;Input!$C91&amp;Input!F91&amp;Input!$C91&amp;Input!$D91&amp;IF(ISBLANK(Input!$B92),"}"&amp;IF(ISBLANK(H$1),"",","),""))</f>
        <v>"min":0,</v>
      </c>
    </row>
    <row r="92" spans="6:7" x14ac:dyDescent="0.3">
      <c r="F92" t="str">
        <f>IF(ISBLANK(Input!$B92),"",Input!$A92&amp;""""&amp;Input!$B92&amp;""":"&amp;Input!$C92&amp;Input!E92&amp;Input!$C92&amp;Input!$D92&amp;IF(ISBLANK(Input!$B93),"}"&amp;IF(ISBLANK(G$1),"",","),""))</f>
        <v>"max":100},</v>
      </c>
      <c r="G92" t="str">
        <f>IF(ISBLANK(Input!$B92),"",Input!$A92&amp;""""&amp;Input!$B92&amp;""":"&amp;Input!$C92&amp;Input!F92&amp;Input!$C92&amp;Input!$D92&amp;IF(ISBLANK(Input!$B93),"}"&amp;IF(ISBLANK(H$1),"",","),""))</f>
        <v>"max":100},</v>
      </c>
    </row>
    <row r="93" spans="6:7" x14ac:dyDescent="0.3">
      <c r="F93" t="str">
        <f>IF(ISBLANK(Input!$B93),"",Input!$A93&amp;""""&amp;Input!$B93&amp;""":"&amp;Input!$C93&amp;Input!E93&amp;Input!$C93&amp;Input!$D93&amp;IF(ISBLANK(Input!$B94),"}"&amp;IF(ISBLANK(G$1),"",","),""))</f>
        <v>"phase":{</v>
      </c>
      <c r="G93" t="str">
        <f>IF(ISBLANK(Input!$B93),"",Input!$A93&amp;""""&amp;Input!$B93&amp;""":"&amp;Input!$C93&amp;Input!F93&amp;Input!$C93&amp;Input!$D93&amp;IF(ISBLANK(Input!$B94),"}"&amp;IF(ISBLANK(H$1),"",","),""))</f>
        <v>"phase":{</v>
      </c>
    </row>
    <row r="94" spans="6:7" x14ac:dyDescent="0.3">
      <c r="F94" t="str">
        <f>IF(ISBLANK(Input!$B94),"",Input!$A94&amp;""""&amp;Input!$B94&amp;""":"&amp;Input!$C94&amp;Input!E94&amp;Input!$C94&amp;Input!$D94&amp;IF(ISBLANK(Input!$B95),"}"&amp;IF(ISBLANK(G$1),"",","),""))</f>
        <v>"name":"Phase",</v>
      </c>
      <c r="G94" t="str">
        <f>IF(ISBLANK(Input!$B94),"",Input!$A94&amp;""""&amp;Input!$B94&amp;""":"&amp;Input!$C94&amp;Input!F94&amp;Input!$C94&amp;Input!$D94&amp;IF(ISBLANK(Input!$B95),"}"&amp;IF(ISBLANK(H$1),"",","),""))</f>
        <v>"name":"Fase",</v>
      </c>
    </row>
    <row r="95" spans="6:7" x14ac:dyDescent="0.3">
      <c r="F95" t="str">
        <f>IF(ISBLANK(Input!$B95),"",Input!$A95&amp;""""&amp;Input!$B95&amp;""":"&amp;Input!$C95&amp;Input!E95&amp;Input!$C95&amp;Input!$D95&amp;IF(ISBLANK(Input!$B96),"}"&amp;IF(ISBLANK(G$1),"",","),""))</f>
        <v>"val":0,</v>
      </c>
      <c r="G95" t="str">
        <f>IF(ISBLANK(Input!$B95),"",Input!$A95&amp;""""&amp;Input!$B95&amp;""":"&amp;Input!$C95&amp;Input!F95&amp;Input!$C95&amp;Input!$D95&amp;IF(ISBLANK(Input!$B96),"}"&amp;IF(ISBLANK(H$1),"",","),""))</f>
        <v>"val":0,</v>
      </c>
    </row>
    <row r="96" spans="6:7" x14ac:dyDescent="0.3">
      <c r="F96" t="str">
        <f>IF(ISBLANK(Input!$B96),"",Input!$A96&amp;""""&amp;Input!$B96&amp;""":"&amp;Input!$C96&amp;Input!E96&amp;Input!$C96&amp;Input!$D96&amp;IF(ISBLANK(Input!$B97),"}"&amp;IF(ISBLANK(G$1),"",","),""))</f>
        <v>"min":-360,</v>
      </c>
      <c r="G96" t="str">
        <f>IF(ISBLANK(Input!$B96),"",Input!$A96&amp;""""&amp;Input!$B96&amp;""":"&amp;Input!$C96&amp;Input!F96&amp;Input!$C96&amp;Input!$D96&amp;IF(ISBLANK(Input!$B97),"}"&amp;IF(ISBLANK(H$1),"",","),""))</f>
        <v>"min":-360,</v>
      </c>
    </row>
    <row r="97" spans="6:7" x14ac:dyDescent="0.3">
      <c r="F97" t="str">
        <f>IF(ISBLANK(Input!$B97),"",Input!$A97&amp;""""&amp;Input!$B97&amp;""":"&amp;Input!$C97&amp;Input!E97&amp;Input!$C97&amp;Input!$D97&amp;IF(ISBLANK(Input!$B98),"}"&amp;IF(ISBLANK(G$1),"",","),""))</f>
        <v>"max":360},</v>
      </c>
      <c r="G97" t="str">
        <f>IF(ISBLANK(Input!$B97),"",Input!$A97&amp;""""&amp;Input!$B97&amp;""":"&amp;Input!$C97&amp;Input!F97&amp;Input!$C97&amp;Input!$D97&amp;IF(ISBLANK(Input!$B98),"}"&amp;IF(ISBLANK(H$1),"",","),""))</f>
        <v>"max":360},</v>
      </c>
    </row>
    <row r="98" spans="6:7" x14ac:dyDescent="0.3">
      <c r="F98" t="str">
        <f>IF(ISBLANK(Input!$B98),"",Input!$A98&amp;""""&amp;Input!$B98&amp;""":"&amp;Input!$C98&amp;Input!E98&amp;Input!$C98&amp;Input!$D98&amp;IF(ISBLANK(Input!$B99),"}"&amp;IF(ISBLANK(G$1),"",","),""))</f>
        <v>"offset":{</v>
      </c>
      <c r="G98" t="str">
        <f>IF(ISBLANK(Input!$B98),"",Input!$A98&amp;""""&amp;Input!$B98&amp;""":"&amp;Input!$C98&amp;Input!F98&amp;Input!$C98&amp;Input!$D98&amp;IF(ISBLANK(Input!$B99),"}"&amp;IF(ISBLANK(H$1),"",","),""))</f>
        <v>"offset":{</v>
      </c>
    </row>
    <row r="99" spans="6:7" x14ac:dyDescent="0.3">
      <c r="F99" t="str">
        <f>IF(ISBLANK(Input!$B99),"",Input!$A99&amp;""""&amp;Input!$B99&amp;""":"&amp;Input!$C99&amp;Input!E99&amp;Input!$C99&amp;Input!$D99&amp;IF(ISBLANK(Input!$B100),"}"&amp;IF(ISBLANK(G$1),"",","),""))</f>
        <v>"name":"Offset",</v>
      </c>
      <c r="G99" t="str">
        <f>IF(ISBLANK(Input!$B99),"",Input!$A99&amp;""""&amp;Input!$B99&amp;""":"&amp;Input!$C99&amp;Input!F99&amp;Input!$C99&amp;Input!$D99&amp;IF(ISBLANK(Input!$B100),"}"&amp;IF(ISBLANK(H$1),"",","),""))</f>
        <v>"name":"Offset",</v>
      </c>
    </row>
    <row r="100" spans="6:7" x14ac:dyDescent="0.3">
      <c r="F100" t="str">
        <f>IF(ISBLANK(Input!$B100),"",Input!$A100&amp;""""&amp;Input!$B100&amp;""":"&amp;Input!$C100&amp;Input!E100&amp;Input!$C100&amp;Input!$D100&amp;IF(ISBLANK(Input!$B101),"}"&amp;IF(ISBLANK(G$1),"",","),""))</f>
        <v>"val":0,</v>
      </c>
      <c r="G100" t="str">
        <f>IF(ISBLANK(Input!$B100),"",Input!$A100&amp;""""&amp;Input!$B100&amp;""":"&amp;Input!$C100&amp;Input!F100&amp;Input!$C100&amp;Input!$D100&amp;IF(ISBLANK(Input!$B101),"}"&amp;IF(ISBLANK(H$1),"",","),""))</f>
        <v>"val":0,</v>
      </c>
    </row>
    <row r="101" spans="6:7" x14ac:dyDescent="0.3">
      <c r="F101" t="str">
        <f>IF(ISBLANK(Input!$B101),"",Input!$A101&amp;""""&amp;Input!$B101&amp;""":"&amp;Input!$C101&amp;Input!E101&amp;Input!$C101&amp;Input!$D101&amp;IF(ISBLANK(Input!$B102),"}"&amp;IF(ISBLANK(G$1),"",","),""))</f>
        <v>"min":-Infinity,</v>
      </c>
      <c r="G101" t="str">
        <f>IF(ISBLANK(Input!$B101),"",Input!$A101&amp;""""&amp;Input!$B101&amp;""":"&amp;Input!$C101&amp;Input!F101&amp;Input!$C101&amp;Input!$D101&amp;IF(ISBLANK(Input!$B102),"}"&amp;IF(ISBLANK(H$1),"",","),""))</f>
        <v>"min":-Infinity,</v>
      </c>
    </row>
    <row r="102" spans="6:7" x14ac:dyDescent="0.3">
      <c r="F102" t="str">
        <f>IF(ISBLANK(Input!$B102),"",Input!$A102&amp;""""&amp;Input!$B102&amp;""":"&amp;Input!$C102&amp;Input!E102&amp;Input!$C102&amp;Input!$D102&amp;IF(ISBLANK(Input!$B103),"}"&amp;IF(ISBLANK(G$1),"",","),""))</f>
        <v>"max":Infinity},</v>
      </c>
      <c r="G102" t="str">
        <f>IF(ISBLANK(Input!$B102),"",Input!$A102&amp;""""&amp;Input!$B102&amp;""":"&amp;Input!$C102&amp;Input!F102&amp;Input!$C102&amp;Input!$D102&amp;IF(ISBLANK(Input!$B103),"}"&amp;IF(ISBLANK(H$1),"",","),""))</f>
        <v>"max":Infinity},</v>
      </c>
    </row>
    <row r="103" spans="6:7" x14ac:dyDescent="0.3">
      <c r="F103" t="str">
        <f>IF(ISBLANK(Input!$B103),"",Input!$A103&amp;""""&amp;Input!$B103&amp;""":"&amp;Input!$C103&amp;Input!E103&amp;Input!$C103&amp;Input!$D103&amp;IF(ISBLANK(Input!$B104),"}"&amp;IF(ISBLANK(G$1),"",","),""))</f>
        <v>"start":{</v>
      </c>
      <c r="G103" t="str">
        <f>IF(ISBLANK(Input!$B103),"",Input!$A103&amp;""""&amp;Input!$B103&amp;""":"&amp;Input!$C103&amp;Input!F103&amp;Input!$C103&amp;Input!$D103&amp;IF(ISBLANK(Input!$B104),"}"&amp;IF(ISBLANK(H$1),"",","),""))</f>
        <v>"start":{</v>
      </c>
    </row>
    <row r="104" spans="6:7" x14ac:dyDescent="0.3">
      <c r="F104" t="str">
        <f>IF(ISBLANK(Input!$B104),"",Input!$A104&amp;""""&amp;Input!$B104&amp;""":"&amp;Input!$C104&amp;Input!E104&amp;Input!$C104&amp;Input!$D104&amp;IF(ISBLANK(Input!$B105),"}"&amp;IF(ISBLANK(G$1),"",","),""))</f>
        <v>"name":"Start at",</v>
      </c>
      <c r="G104" t="str">
        <f>IF(ISBLANK(Input!$B104),"",Input!$A104&amp;""""&amp;Input!$B104&amp;""":"&amp;Input!$C104&amp;Input!F104&amp;Input!$C104&amp;Input!$D104&amp;IF(ISBLANK(Input!$B105),"}"&amp;IF(ISBLANK(H$1),"",","),""))</f>
        <v>"name":"Start at",</v>
      </c>
    </row>
    <row r="105" spans="6:7" x14ac:dyDescent="0.3">
      <c r="F105" t="str">
        <f>IF(ISBLANK(Input!$B105),"",Input!$A105&amp;""""&amp;Input!$B105&amp;""":"&amp;Input!$C105&amp;Input!E105&amp;Input!$C105&amp;Input!$D105&amp;IF(ISBLANK(Input!$B106),"}"&amp;IF(ISBLANK(G$1),"",","),""))</f>
        <v>"val":0,</v>
      </c>
      <c r="G105" t="str">
        <f>IF(ISBLANK(Input!$B105),"",Input!$A105&amp;""""&amp;Input!$B105&amp;""":"&amp;Input!$C105&amp;Input!F105&amp;Input!$C105&amp;Input!$D105&amp;IF(ISBLANK(Input!$B106),"}"&amp;IF(ISBLANK(H$1),"",","),""))</f>
        <v>"val":0,</v>
      </c>
    </row>
    <row r="106" spans="6:7" x14ac:dyDescent="0.3">
      <c r="F106" t="str">
        <f>IF(ISBLANK(Input!$B106),"",Input!$A106&amp;""""&amp;Input!$B106&amp;""":"&amp;Input!$C106&amp;Input!E106&amp;Input!$C106&amp;Input!$D106&amp;IF(ISBLANK(Input!$B107),"}"&amp;IF(ISBLANK(G$1),"",","),""))</f>
        <v>"min":0,</v>
      </c>
      <c r="G106" t="str">
        <f>IF(ISBLANK(Input!$B106),"",Input!$A106&amp;""""&amp;Input!$B106&amp;""":"&amp;Input!$C106&amp;Input!F106&amp;Input!$C106&amp;Input!$D106&amp;IF(ISBLANK(Input!$B107),"}"&amp;IF(ISBLANK(H$1),"",","),""))</f>
        <v>"min":0,</v>
      </c>
    </row>
    <row r="107" spans="6:7" x14ac:dyDescent="0.3">
      <c r="F107" t="str">
        <f>IF(ISBLANK(Input!$B107),"",Input!$A107&amp;""""&amp;Input!$B107&amp;""":"&amp;Input!$C107&amp;Input!E107&amp;Input!$C107&amp;Input!$D107&amp;IF(ISBLANK(Input!$B108),"}"&amp;IF(ISBLANK(G$1),"",","),""))</f>
        <v>"max":Infinity}},</v>
      </c>
      <c r="G107" t="str">
        <f>IF(ISBLANK(Input!$B107),"",Input!$A107&amp;""""&amp;Input!$B107&amp;""":"&amp;Input!$C107&amp;Input!F107&amp;Input!$C107&amp;Input!$D107&amp;IF(ISBLANK(Input!$B108),"}"&amp;IF(ISBLANK(H$1),"",","),""))</f>
        <v>"max":Infinity}},</v>
      </c>
    </row>
    <row r="108" spans="6:7" x14ac:dyDescent="0.3">
      <c r="F108" t="str">
        <f>IF(ISBLANK(Input!$B108),"",Input!$A108&amp;""""&amp;Input!$B108&amp;""":"&amp;Input!$C108&amp;Input!E108&amp;Input!$C108&amp;Input!$D108&amp;IF(ISBLANK(Input!$B109),"}"&amp;IF(ISBLANK(G$1),"",","),""))</f>
        <v>"iSignal":"Invert signal",</v>
      </c>
      <c r="G108" t="str">
        <f>IF(ISBLANK(Input!$B108),"",Input!$A108&amp;""""&amp;Input!$B108&amp;""":"&amp;Input!$C108&amp;Input!F108&amp;Input!$C108&amp;Input!$D108&amp;IF(ISBLANK(Input!$B109),"}"&amp;IF(ISBLANK(H$1),"",","),""))</f>
        <v>"iSignal":"Invert signal",</v>
      </c>
    </row>
    <row r="109" spans="6:7" x14ac:dyDescent="0.3">
      <c r="F109" t="str">
        <f>IF(ISBLANK(Input!$B109),"",Input!$A109&amp;""""&amp;Input!$B109&amp;""":"&amp;Input!$C109&amp;Input!E109&amp;Input!$C109&amp;Input!$D109&amp;IF(ISBLANK(Input!$B110),"}"&amp;IF(ISBLANK(G$1),"",","),""))</f>
        <v>"sTypes":{</v>
      </c>
      <c r="G109" t="str">
        <f>IF(ISBLANK(Input!$B109),"",Input!$A109&amp;""""&amp;Input!$B109&amp;""":"&amp;Input!$C109&amp;Input!F109&amp;Input!$C109&amp;Input!$D109&amp;IF(ISBLANK(Input!$B110),"}"&amp;IF(ISBLANK(H$1),"",","),""))</f>
        <v>"sTypes":{</v>
      </c>
    </row>
    <row r="110" spans="6:7" x14ac:dyDescent="0.3">
      <c r="F110" t="str">
        <f>IF(ISBLANK(Input!$B110),"",Input!$A110&amp;""""&amp;Input!$B110&amp;""":"&amp;Input!$C110&amp;Input!E110&amp;Input!$C110&amp;Input!$D110&amp;IF(ISBLANK(Input!$B111),"}"&amp;IF(ISBLANK(G$1),"",","),""))</f>
        <v>"step":{</v>
      </c>
      <c r="G110" t="str">
        <f>IF(ISBLANK(Input!$B110),"",Input!$A110&amp;""""&amp;Input!$B110&amp;""":"&amp;Input!$C110&amp;Input!F110&amp;Input!$C110&amp;Input!$D110&amp;IF(ISBLANK(Input!$B111),"}"&amp;IF(ISBLANK(H$1),"",","),""))</f>
        <v>"step":{</v>
      </c>
    </row>
    <row r="111" spans="6:7" x14ac:dyDescent="0.3">
      <c r="F111" t="str">
        <f>IF(ISBLANK(Input!$B111),"",Input!$A111&amp;""""&amp;Input!$B111&amp;""":"&amp;Input!$C111&amp;Input!E111&amp;Input!$C111&amp;Input!$D111&amp;IF(ISBLANK(Input!$B112),"}"&amp;IF(ISBLANK(G$1),"",","),""))</f>
        <v>"name":"Step function",</v>
      </c>
      <c r="G111" t="str">
        <f>IF(ISBLANK(Input!$B111),"",Input!$A111&amp;""""&amp;Input!$B111&amp;""":"&amp;Input!$C111&amp;Input!F111&amp;Input!$C111&amp;Input!$D111&amp;IF(ISBLANK(Input!$B112),"}"&amp;IF(ISBLANK(H$1),"",","),""))</f>
        <v>"name":"Step function",</v>
      </c>
    </row>
    <row r="112" spans="6:7" x14ac:dyDescent="0.3">
      <c r="F112" t="str">
        <f>IF(ISBLANK(Input!$B112),"",Input!$A112&amp;""""&amp;Input!$B112&amp;""":"&amp;Input!$C112&amp;Input!E112&amp;Input!$C112&amp;Input!$D112&amp;IF(ISBLANK(Input!$B113),"}"&amp;IF(ISBLANK(G$1),"",","),""))</f>
        <v>"params":['amp','offset']},</v>
      </c>
      <c r="G112" t="str">
        <f>IF(ISBLANK(Input!$B112),"",Input!$A112&amp;""""&amp;Input!$B112&amp;""":"&amp;Input!$C112&amp;Input!F112&amp;Input!$C112&amp;Input!$D112&amp;IF(ISBLANK(Input!$B113),"}"&amp;IF(ISBLANK(H$1),"",","),""))</f>
        <v>"params":['amp','offset']},</v>
      </c>
    </row>
    <row r="113" spans="6:7" x14ac:dyDescent="0.3">
      <c r="F113" t="str">
        <f>IF(ISBLANK(Input!$B113),"",Input!$A113&amp;""""&amp;Input!$B113&amp;""":"&amp;Input!$C113&amp;Input!E113&amp;Input!$C113&amp;Input!$D113&amp;IF(ISBLANK(Input!$B114),"}"&amp;IF(ISBLANK(G$1),"",","),""))</f>
        <v>"sine":{</v>
      </c>
      <c r="G113" t="str">
        <f>IF(ISBLANK(Input!$B113),"",Input!$A113&amp;""""&amp;Input!$B113&amp;""":"&amp;Input!$C113&amp;Input!F113&amp;Input!$C113&amp;Input!$D113&amp;IF(ISBLANK(Input!$B114),"}"&amp;IF(ISBLANK(H$1),"",","),""))</f>
        <v>"sine":{</v>
      </c>
    </row>
    <row r="114" spans="6:7" x14ac:dyDescent="0.3">
      <c r="F114" t="str">
        <f>IF(ISBLANK(Input!$B114),"",Input!$A114&amp;""""&amp;Input!$B114&amp;""":"&amp;Input!$C114&amp;Input!E114&amp;Input!$C114&amp;Input!$D114&amp;IF(ISBLANK(Input!$B115),"}"&amp;IF(ISBLANK(G$1),"",","),""))</f>
        <v>"name":"Sine wave",</v>
      </c>
      <c r="G114" t="str">
        <f>IF(ISBLANK(Input!$B114),"",Input!$A114&amp;""""&amp;Input!$B114&amp;""":"&amp;Input!$C114&amp;Input!F114&amp;Input!$C114&amp;Input!$D114&amp;IF(ISBLANK(Input!$B115),"}"&amp;IF(ISBLANK(H$1),"",","),""))</f>
        <v>"name":"Sine wave",</v>
      </c>
    </row>
    <row r="115" spans="6:7" x14ac:dyDescent="0.3">
      <c r="F115" t="str">
        <f>IF(ISBLANK(Input!$B115),"",Input!$A115&amp;""""&amp;Input!$B115&amp;""":"&amp;Input!$C115&amp;Input!E115&amp;Input!$C115&amp;Input!$D115&amp;IF(ISBLANK(Input!$B116),"}"&amp;IF(ISBLANK(G$1),"",","),""))</f>
        <v>"params":['amp','freq','phase','offset']},</v>
      </c>
      <c r="G115" t="str">
        <f>IF(ISBLANK(Input!$B115),"",Input!$A115&amp;""""&amp;Input!$B115&amp;""":"&amp;Input!$C115&amp;Input!F115&amp;Input!$C115&amp;Input!$D115&amp;IF(ISBLANK(Input!$B116),"}"&amp;IF(ISBLANK(H$1),"",","),""))</f>
        <v>"params":['amp','freq','phase','offset']},</v>
      </c>
    </row>
    <row r="116" spans="6:7" x14ac:dyDescent="0.3">
      <c r="F116" t="str">
        <f>IF(ISBLANK(Input!$B116),"",Input!$A116&amp;""""&amp;Input!$B116&amp;""":"&amp;Input!$C116&amp;Input!E116&amp;Input!$C116&amp;Input!$D116&amp;IF(ISBLANK(Input!$B117),"}"&amp;IF(ISBLANK(G$1),"",","),""))</f>
        <v>"triangle":{</v>
      </c>
      <c r="G116" t="str">
        <f>IF(ISBLANK(Input!$B116),"",Input!$A116&amp;""""&amp;Input!$B116&amp;""":"&amp;Input!$C116&amp;Input!F116&amp;Input!$C116&amp;Input!$D116&amp;IF(ISBLANK(Input!$B117),"}"&amp;IF(ISBLANK(H$1),"",","),""))</f>
        <v>"triangle":{</v>
      </c>
    </row>
    <row r="117" spans="6:7" x14ac:dyDescent="0.3">
      <c r="F117" t="str">
        <f>IF(ISBLANK(Input!$B117),"",Input!$A117&amp;""""&amp;Input!$B117&amp;""":"&amp;Input!$C117&amp;Input!E117&amp;Input!$C117&amp;Input!$D117&amp;IF(ISBLANK(Input!$B118),"}"&amp;IF(ISBLANK(G$1),"",","),""))</f>
        <v>"name":"Triangular wave",</v>
      </c>
      <c r="G117" t="str">
        <f>IF(ISBLANK(Input!$B117),"",Input!$A117&amp;""""&amp;Input!$B117&amp;""":"&amp;Input!$C117&amp;Input!F117&amp;Input!$C117&amp;Input!$D117&amp;IF(ISBLANK(Input!$B118),"}"&amp;IF(ISBLANK(H$1),"",","),""))</f>
        <v>"name":"Triangular wave",</v>
      </c>
    </row>
    <row r="118" spans="6:7" x14ac:dyDescent="0.3">
      <c r="F118" t="str">
        <f>IF(ISBLANK(Input!$B118),"",Input!$A118&amp;""""&amp;Input!$B118&amp;""":"&amp;Input!$C118&amp;Input!E118&amp;Input!$C118&amp;Input!$D118&amp;IF(ISBLANK(Input!$B119),"}"&amp;IF(ISBLANK(G$1),"",","),""))</f>
        <v>"params":['amp','freq', 'phase','offset']},</v>
      </c>
      <c r="G118" t="str">
        <f>IF(ISBLANK(Input!$B118),"",Input!$A118&amp;""""&amp;Input!$B118&amp;""":"&amp;Input!$C118&amp;Input!F118&amp;Input!$C118&amp;Input!$D118&amp;IF(ISBLANK(Input!$B119),"}"&amp;IF(ISBLANK(H$1),"",","),""))</f>
        <v>"params":['amp','freq', 'phase','offset']},</v>
      </c>
    </row>
    <row r="119" spans="6:7" x14ac:dyDescent="0.3">
      <c r="F119" t="str">
        <f>IF(ISBLANK(Input!$B119),"",Input!$A119&amp;""""&amp;Input!$B119&amp;""":"&amp;Input!$C119&amp;Input!E119&amp;Input!$C119&amp;Input!$D119&amp;IF(ISBLANK(Input!$B120),"}"&amp;IF(ISBLANK(G$1),"",","),""))</f>
        <v>"sawtooth":{</v>
      </c>
      <c r="G119" t="str">
        <f>IF(ISBLANK(Input!$B119),"",Input!$A119&amp;""""&amp;Input!$B119&amp;""":"&amp;Input!$C119&amp;Input!F119&amp;Input!$C119&amp;Input!$D119&amp;IF(ISBLANK(Input!$B120),"}"&amp;IF(ISBLANK(H$1),"",","),""))</f>
        <v>"sawtooth":{</v>
      </c>
    </row>
    <row r="120" spans="6:7" x14ac:dyDescent="0.3">
      <c r="F120" t="str">
        <f>IF(ISBLANK(Input!$B120),"",Input!$A120&amp;""""&amp;Input!$B120&amp;""":"&amp;Input!$C120&amp;Input!E120&amp;Input!$C120&amp;Input!$D120&amp;IF(ISBLANK(Input!$B121),"}"&amp;IF(ISBLANK(G$1),"",","),""))</f>
        <v>"name":"Sawtooth wave",</v>
      </c>
      <c r="G120" t="str">
        <f>IF(ISBLANK(Input!$B120),"",Input!$A120&amp;""""&amp;Input!$B120&amp;""":"&amp;Input!$C120&amp;Input!F120&amp;Input!$C120&amp;Input!$D120&amp;IF(ISBLANK(Input!$B121),"}"&amp;IF(ISBLANK(H$1),"",","),""))</f>
        <v>"name":"Sawtooth wave",</v>
      </c>
    </row>
    <row r="121" spans="6:7" x14ac:dyDescent="0.3">
      <c r="F121" t="str">
        <f>IF(ISBLANK(Input!$B121),"",Input!$A121&amp;""""&amp;Input!$B121&amp;""":"&amp;Input!$C121&amp;Input!E121&amp;Input!$C121&amp;Input!$D121&amp;IF(ISBLANK(Input!$B122),"}"&amp;IF(ISBLANK(G$1),"",","),""))</f>
        <v>"params":['amp','freq', 'phase','offset']},</v>
      </c>
      <c r="G121" t="str">
        <f>IF(ISBLANK(Input!$B121),"",Input!$A121&amp;""""&amp;Input!$B121&amp;""":"&amp;Input!$C121&amp;Input!F121&amp;Input!$C121&amp;Input!$D121&amp;IF(ISBLANK(Input!$B122),"}"&amp;IF(ISBLANK(H$1),"",","),""))</f>
        <v>"params":['amp','freq', 'phase','offset']},</v>
      </c>
    </row>
    <row r="122" spans="6:7" x14ac:dyDescent="0.3">
      <c r="F122" t="str">
        <f>IF(ISBLANK(Input!$B122),"",Input!$A122&amp;""""&amp;Input!$B122&amp;""":"&amp;Input!$C122&amp;Input!E122&amp;Input!$C122&amp;Input!$D122&amp;IF(ISBLANK(Input!$B123),"}"&amp;IF(ISBLANK(G$1),"",","),""))</f>
        <v>"rect":{</v>
      </c>
      <c r="G122" t="str">
        <f>IF(ISBLANK(Input!$B122),"",Input!$A122&amp;""""&amp;Input!$B122&amp;""":"&amp;Input!$C122&amp;Input!F122&amp;Input!$C122&amp;Input!$D122&amp;IF(ISBLANK(Input!$B123),"}"&amp;IF(ISBLANK(H$1),"",","),""))</f>
        <v>"rect":{</v>
      </c>
    </row>
    <row r="123" spans="6:7" x14ac:dyDescent="0.3">
      <c r="F123" t="str">
        <f>IF(ISBLANK(Input!$B123),"",Input!$A123&amp;""""&amp;Input!$B123&amp;""":"&amp;Input!$C123&amp;Input!E123&amp;Input!$C123&amp;Input!$D123&amp;IF(ISBLANK(Input!$B124),"}"&amp;IF(ISBLANK(G$1),"",","),""))</f>
        <v>"name":"Rectangular wave",</v>
      </c>
      <c r="G123" t="str">
        <f>IF(ISBLANK(Input!$B123),"",Input!$A123&amp;""""&amp;Input!$B123&amp;""":"&amp;Input!$C123&amp;Input!F123&amp;Input!$C123&amp;Input!$D123&amp;IF(ISBLANK(Input!$B124),"}"&amp;IF(ISBLANK(H$1),"",","),""))</f>
        <v>"name":"Rectangular wave",</v>
      </c>
    </row>
    <row r="124" spans="6:7" x14ac:dyDescent="0.3">
      <c r="F124" t="str">
        <f>IF(ISBLANK(Input!$B124),"",Input!$A124&amp;""""&amp;Input!$B124&amp;""":"&amp;Input!$C124&amp;Input!E124&amp;Input!$C124&amp;Input!$D124&amp;IF(ISBLANK(Input!$B125),"}"&amp;IF(ISBLANK(G$1),"",","),""))</f>
        <v>"params":['amp','freq','phase','duty','offset']}},</v>
      </c>
      <c r="G124" t="str">
        <f>IF(ISBLANK(Input!$B124),"",Input!$A124&amp;""""&amp;Input!$B124&amp;""":"&amp;Input!$C124&amp;Input!F124&amp;Input!$C124&amp;Input!$D124&amp;IF(ISBLANK(Input!$B125),"}"&amp;IF(ISBLANK(H$1),"",","),""))</f>
        <v>"params":['amp','freq','phase','duty','offset']}},</v>
      </c>
    </row>
    <row r="125" spans="6:7" x14ac:dyDescent="0.3">
      <c r="F125" t="str">
        <f>IF(ISBLANK(Input!$B125),"",Input!$A125&amp;""""&amp;Input!$B125&amp;""":"&amp;Input!$C125&amp;Input!E125&amp;Input!$C125&amp;Input!$D125&amp;IF(ISBLANK(Input!$B126),"}"&amp;IF(ISBLANK(G$1),"",","),""))</f>
        <v>"sType":"Signal type"},</v>
      </c>
      <c r="G125" t="str">
        <f>IF(ISBLANK(Input!$B125),"",Input!$A125&amp;""""&amp;Input!$B125&amp;""":"&amp;Input!$C125&amp;Input!F125&amp;Input!$C125&amp;Input!$D125&amp;IF(ISBLANK(Input!$B126),"}"&amp;IF(ISBLANK(H$1),"",","),""))</f>
        <v>"sType":"Signal type"},</v>
      </c>
    </row>
    <row r="126" spans="6:7" x14ac:dyDescent="0.3">
      <c r="F126" t="str">
        <f>IF(ISBLANK(Input!$B126),"",Input!$A126&amp;""""&amp;Input!$B126&amp;""":"&amp;Input!$C126&amp;Input!E126&amp;Input!$C126&amp;Input!$D126&amp;IF(ISBLANK(Input!$B127),"}"&amp;IF(ISBLANK(G$1),"",","),""))</f>
        <v>"errors":{</v>
      </c>
      <c r="G126" t="str">
        <f>IF(ISBLANK(Input!$B126),"",Input!$A126&amp;""""&amp;Input!$B126&amp;""":"&amp;Input!$C126&amp;Input!F126&amp;Input!$C126&amp;Input!$D126&amp;IF(ISBLANK(Input!$B127),"}"&amp;IF(ISBLANK(H$1),"",","),""))</f>
        <v>"errors":{</v>
      </c>
    </row>
    <row r="127" spans="6:7" x14ac:dyDescent="0.3">
      <c r="F127" t="str">
        <f>IF(ISBLANK(Input!$B127),"",Input!$A127&amp;""""&amp;Input!$B127&amp;""":"&amp;Input!$C127&amp;Input!E127&amp;Input!$C127&amp;Input!$D127&amp;IF(ISBLANK(Input!$B128),"}"&amp;IF(ISBLANK(G$1),"",","),""))</f>
        <v>"uENFound":"No error found in the data entered by user.",</v>
      </c>
      <c r="G127" t="str">
        <f>IF(ISBLANK(Input!$B127),"",Input!$A127&amp;""""&amp;Input!$B127&amp;""":"&amp;Input!$C127&amp;Input!F127&amp;Input!$C127&amp;Input!$D127&amp;IF(ISBLANK(Input!$B128),"}"&amp;IF(ISBLANK(H$1),"",","),""))</f>
        <v>"uENFound":"No se encontraron errores en los datos ingresados por el usuario.",</v>
      </c>
    </row>
    <row r="128" spans="6:7" x14ac:dyDescent="0.3">
      <c r="F128" t="str">
        <f>IF(ISBLANK(Input!$B128),"",Input!$A128&amp;""""&amp;Input!$B128&amp;""":"&amp;Input!$C128&amp;Input!E128&amp;Input!$C128&amp;Input!$D128&amp;IF(ISBLANK(Input!$B129),"}"&amp;IF(ISBLANK(G$1),"",","),""))</f>
        <v>"uEFound":"Error: following values entered by the user are wrong.",</v>
      </c>
      <c r="G128" t="str">
        <f>IF(ISBLANK(Input!$B128),"",Input!$A128&amp;""""&amp;Input!$B128&amp;""":"&amp;Input!$C128&amp;Input!F128&amp;Input!$C128&amp;Input!$D128&amp;IF(ISBLANK(Input!$B129),"}"&amp;IF(ISBLANK(H$1),"",","),""))</f>
        <v>"uEFound":"Error: los siguientes valores ingresados por el usuario son incorrectos.",</v>
      </c>
    </row>
    <row r="129" spans="6:7" x14ac:dyDescent="0.3">
      <c r="F129" t="str">
        <f>IF(ISBLANK(Input!$B129),"",Input!$A129&amp;""""&amp;Input!$B129&amp;""":"&amp;Input!$C129&amp;Input!E129&amp;Input!$C129&amp;Input!$D129&amp;IF(ISBLANK(Input!$B130),"}"&amp;IF(ISBLANK(G$1),"",","),""))</f>
        <v>"sec":"Section",</v>
      </c>
      <c r="G129" t="str">
        <f>IF(ISBLANK(Input!$B129),"",Input!$A129&amp;""""&amp;Input!$B129&amp;""":"&amp;Input!$C129&amp;Input!F129&amp;Input!$C129&amp;Input!$D129&amp;IF(ISBLANK(Input!$B130),"}"&amp;IF(ISBLANK(H$1),"",","),""))</f>
        <v>"sec":"Sección",</v>
      </c>
    </row>
    <row r="130" spans="6:7" x14ac:dyDescent="0.3">
      <c r="F130" t="str">
        <f>IF(ISBLANK(Input!$B130),"",Input!$A130&amp;""""&amp;Input!$B130&amp;""":"&amp;Input!$C130&amp;Input!E130&amp;Input!$C130&amp;Input!$D130&amp;IF(ISBLANK(Input!$B131),"}"&amp;IF(ISBLANK(G$1),"",","),""))</f>
        <v>"sSec":"Subsection",</v>
      </c>
      <c r="G130" t="str">
        <f>IF(ISBLANK(Input!$B130),"",Input!$A130&amp;""""&amp;Input!$B130&amp;""":"&amp;Input!$C130&amp;Input!F130&amp;Input!$C130&amp;Input!$D130&amp;IF(ISBLANK(Input!$B131),"}"&amp;IF(ISBLANK(H$1),"",","),""))</f>
        <v>"sSec":"Subsección",</v>
      </c>
    </row>
    <row r="131" spans="6:7" x14ac:dyDescent="0.3">
      <c r="F131" t="str">
        <f>IF(ISBLANK(Input!$B131),"",Input!$A131&amp;""""&amp;Input!$B131&amp;""":"&amp;Input!$C131&amp;Input!E131&amp;Input!$C131&amp;Input!$D131&amp;IF(ISBLANK(Input!$B132),"}"&amp;IF(ISBLANK(G$1),"",","),""))</f>
        <v>"uVal":"Value entered",</v>
      </c>
      <c r="G131" t="str">
        <f>IF(ISBLANK(Input!$B131),"",Input!$A131&amp;""""&amp;Input!$B131&amp;""":"&amp;Input!$C131&amp;Input!F131&amp;Input!$C131&amp;Input!$D131&amp;IF(ISBLANK(Input!$B132),"}"&amp;IF(ISBLANK(H$1),"",","),""))</f>
        <v>"uVal":"Valor ingresado",</v>
      </c>
    </row>
    <row r="132" spans="6:7" x14ac:dyDescent="0.3">
      <c r="F132" t="str">
        <f>IF(ISBLANK(Input!$B132),"",Input!$A132&amp;""""&amp;Input!$B132&amp;""":"&amp;Input!$C132&amp;Input!E132&amp;Input!$C132&amp;Input!$D132&amp;IF(ISBLANK(Input!$B133),"}"&amp;IF(ISBLANK(G$1),"",","),""))</f>
        <v>"min":"Minimum",</v>
      </c>
      <c r="G132" t="str">
        <f>IF(ISBLANK(Input!$B132),"",Input!$A132&amp;""""&amp;Input!$B132&amp;""":"&amp;Input!$C132&amp;Input!F132&amp;Input!$C132&amp;Input!$D132&amp;IF(ISBLANK(Input!$B133),"}"&amp;IF(ISBLANK(H$1),"",","),""))</f>
        <v>"min":"Mínimo",</v>
      </c>
    </row>
    <row r="133" spans="6:7" x14ac:dyDescent="0.3">
      <c r="F133" t="str">
        <f>IF(ISBLANK(Input!$B133),"",Input!$A133&amp;""""&amp;Input!$B133&amp;""":"&amp;Input!$C133&amp;Input!E133&amp;Input!$C133&amp;Input!$D133&amp;IF(ISBLANK(Input!$B134),"}"&amp;IF(ISBLANK(G$1),"",","),""))</f>
        <v>"max":"Maximum"},</v>
      </c>
      <c r="G133" t="str">
        <f>IF(ISBLANK(Input!$B133),"",Input!$A133&amp;""""&amp;Input!$B133&amp;""":"&amp;Input!$C133&amp;Input!F133&amp;Input!$C133&amp;Input!$D133&amp;IF(ISBLANK(Input!$B134),"}"&amp;IF(ISBLANK(H$1),"",","),""))</f>
        <v>"max":"Máximo"},</v>
      </c>
    </row>
    <row r="134" spans="6:7" x14ac:dyDescent="0.3">
      <c r="F134" t="str">
        <f>IF(ISBLANK(Input!$B134),"",Input!$A134&amp;""""&amp;Input!$B134&amp;""":"&amp;Input!$C134&amp;Input!E134&amp;Input!$C134&amp;Input!$D134&amp;IF(ISBLANK(Input!$B135),"}"&amp;IF(ISBLANK(G$1),"",","),""))</f>
        <v>"plots":{</v>
      </c>
      <c r="G134" t="str">
        <f>IF(ISBLANK(Input!$B134),"",Input!$A134&amp;""""&amp;Input!$B134&amp;""":"&amp;Input!$C134&amp;Input!F134&amp;Input!$C134&amp;Input!$D134&amp;IF(ISBLANK(Input!$B135),"}"&amp;IF(ISBLANK(H$1),"",","),""))</f>
        <v>"plots":{</v>
      </c>
    </row>
    <row r="135" spans="6:7" x14ac:dyDescent="0.3">
      <c r="F135" t="str">
        <f>IF(ISBLANK(Input!$B135),"",Input!$A135&amp;""""&amp;Input!$B135&amp;""":"&amp;Input!$C135&amp;Input!E135&amp;Input!$C135&amp;Input!$D135&amp;IF(ISBLANK(Input!$B136),"}"&amp;IF(ISBLANK(G$1),"",","),""))</f>
        <v>"show":"Show in graph",</v>
      </c>
      <c r="G135" t="str">
        <f>IF(ISBLANK(Input!$B135),"",Input!$A135&amp;""""&amp;Input!$B135&amp;""":"&amp;Input!$C135&amp;Input!F135&amp;Input!$C135&amp;Input!$D135&amp;IF(ISBLANK(Input!$B136),"}"&amp;IF(ISBLANK(H$1),"",","),""))</f>
        <v>"show":"Mostrar en gráfico",</v>
      </c>
    </row>
    <row r="136" spans="6:7" x14ac:dyDescent="0.3">
      <c r="F136" t="str">
        <f>IF(ISBLANK(Input!$B136),"",Input!$A136&amp;""""&amp;Input!$B136&amp;""":"&amp;Input!$C136&amp;Input!E136&amp;Input!$C136&amp;Input!$D136&amp;IF(ISBLANK(Input!$B137),"}"&amp;IF(ISBLANK(G$1),"",","),""))</f>
        <v>"nWind":"Open in new window",</v>
      </c>
      <c r="G136" t="str">
        <f>IF(ISBLANK(Input!$B136),"",Input!$A136&amp;""""&amp;Input!$B136&amp;""":"&amp;Input!$C136&amp;Input!F136&amp;Input!$C136&amp;Input!$D136&amp;IF(ISBLANK(Input!$B137),"}"&amp;IF(ISBLANK(H$1),"",","),""))</f>
        <v>"nWind":"Abrir en nueva ventana",</v>
      </c>
    </row>
    <row r="137" spans="6:7" x14ac:dyDescent="0.3">
      <c r="F137" t="str">
        <f>IF(ISBLANK(Input!$B137),"",Input!$A137&amp;""""&amp;Input!$B137&amp;""":"&amp;Input!$C137&amp;Input!E137&amp;Input!$C137&amp;Input!$D137&amp;IF(ISBLANK(Input!$B138),"}"&amp;IF(ISBLANK(G$1),"",","),""))</f>
        <v>"sLog":"Download the log",</v>
      </c>
      <c r="G137" t="str">
        <f>IF(ISBLANK(Input!$B137),"",Input!$A137&amp;""""&amp;Input!$B137&amp;""":"&amp;Input!$C137&amp;Input!F137&amp;Input!$C137&amp;Input!$D137&amp;IF(ISBLANK(Input!$B138),"}"&amp;IF(ISBLANK(H$1),"",","),""))</f>
        <v>"sLog":"Descargar el registro",</v>
      </c>
    </row>
    <row r="138" spans="6:7" x14ac:dyDescent="0.3">
      <c r="F138" t="str">
        <f>IF(ISBLANK(Input!$B138),"",Input!$A138&amp;""""&amp;Input!$B138&amp;""":"&amp;Input!$C138&amp;Input!E138&amp;Input!$C138&amp;Input!$D138&amp;IF(ISBLANK(Input!$B139),"}"&amp;IF(ISBLANK(G$1),"",","),""))</f>
        <v>"sComplex":"Plot the complex numbers",</v>
      </c>
      <c r="G138" t="str">
        <f>IF(ISBLANK(Input!$B138),"",Input!$A138&amp;""""&amp;Input!$B138&amp;""":"&amp;Input!$C138&amp;Input!F138&amp;Input!$C138&amp;Input!$D138&amp;IF(ISBLANK(Input!$B139),"}"&amp;IF(ISBLANK(H$1),"",","),""))</f>
        <v>"sComplex":"Graficar los números complejos",</v>
      </c>
    </row>
    <row r="139" spans="6:7" x14ac:dyDescent="0.3">
      <c r="F139" t="str">
        <f>IF(ISBLANK(Input!$B139),"",Input!$A139&amp;""""&amp;Input!$B139&amp;""":"&amp;Input!$C139&amp;Input!E139&amp;Input!$C139&amp;Input!$D139&amp;IF(ISBLANK(Input!$B140),"}"&amp;IF(ISBLANK(G$1),"",","),""))</f>
        <v>"sDAll":"Select/Deselect all"},</v>
      </c>
      <c r="G139" t="str">
        <f>IF(ISBLANK(Input!$B139),"",Input!$A139&amp;""""&amp;Input!$B139&amp;""":"&amp;Input!$C139&amp;Input!F139&amp;Input!$C139&amp;Input!$D139&amp;IF(ISBLANK(Input!$B140),"}"&amp;IF(ISBLANK(H$1),"",","),""))</f>
        <v>"sDAll":"Seleccionar / Deseleccionar todo"},</v>
      </c>
    </row>
    <row r="140" spans="6:7" x14ac:dyDescent="0.3">
      <c r="F140" t="str">
        <f>IF(ISBLANK(Input!$B140),"",Input!$A140&amp;""""&amp;Input!$B140&amp;""":"&amp;Input!$C140&amp;Input!E140&amp;Input!$C140&amp;Input!$D140&amp;IF(ISBLANK(Input!$B141),"}"&amp;IF(ISBLANK(G$1),"",","),""))</f>
        <v>"sim":{</v>
      </c>
      <c r="G140" t="str">
        <f>IF(ISBLANK(Input!$B140),"",Input!$A140&amp;""""&amp;Input!$B140&amp;""":"&amp;Input!$C140&amp;Input!F140&amp;Input!$C140&amp;Input!$D140&amp;IF(ISBLANK(Input!$B141),"}"&amp;IF(ISBLANK(H$1),"",","),""))</f>
        <v>"sim":{</v>
      </c>
    </row>
    <row r="141" spans="6:7" x14ac:dyDescent="0.3">
      <c r="F141" t="str">
        <f>IF(ISBLANK(Input!$B141),"",Input!$A141&amp;""""&amp;Input!$B141&amp;""":"&amp;Input!$C141&amp;Input!E141&amp;Input!$C141&amp;Input!$D141&amp;IF(ISBLANK(Input!$B142),"}"&amp;IF(ISBLANK(G$1),"",","),""))</f>
        <v>"name":"Simulation",</v>
      </c>
      <c r="G141" t="str">
        <f>IF(ISBLANK(Input!$B141),"",Input!$A141&amp;""""&amp;Input!$B141&amp;""":"&amp;Input!$C141&amp;Input!F141&amp;Input!$C141&amp;Input!$D141&amp;IF(ISBLANK(Input!$B142),"}"&amp;IF(ISBLANK(H$1),"",","),""))</f>
        <v>"name":"Simulación",</v>
      </c>
    </row>
    <row r="142" spans="6:7" x14ac:dyDescent="0.3">
      <c r="F142" t="str">
        <f>IF(ISBLANK(Input!$B142),"",Input!$A142&amp;""""&amp;Input!$B142&amp;""":"&amp;Input!$C142&amp;Input!E142&amp;Input!$C142&amp;Input!$D142&amp;IF(ISBLANK(Input!$B143),"}"&amp;IF(ISBLANK(G$1),"",","),""))</f>
        <v>"run":"Run",</v>
      </c>
      <c r="G142" t="str">
        <f>IF(ISBLANK(Input!$B142),"",Input!$A142&amp;""""&amp;Input!$B142&amp;""":"&amp;Input!$C142&amp;Input!F142&amp;Input!$C142&amp;Input!$D142&amp;IF(ISBLANK(Input!$B143),"}"&amp;IF(ISBLANK(H$1),"",","),""))</f>
        <v>"run":"Ejecutar",</v>
      </c>
    </row>
    <row r="143" spans="6:7" x14ac:dyDescent="0.3">
      <c r="F143" t="str">
        <f>IF(ISBLANK(Input!$B143),"",Input!$A143&amp;""""&amp;Input!$B143&amp;""":"&amp;Input!$C143&amp;Input!E143&amp;Input!$C143&amp;Input!$D143&amp;IF(ISBLANK(Input!$B144),"}"&amp;IF(ISBLANK(G$1),"",","),""))</f>
        <v>"stop":"Stop",</v>
      </c>
      <c r="G143" t="str">
        <f>IF(ISBLANK(Input!$B143),"",Input!$A143&amp;""""&amp;Input!$B143&amp;""":"&amp;Input!$C143&amp;Input!F143&amp;Input!$C143&amp;Input!$D143&amp;IF(ISBLANK(Input!$B144),"}"&amp;IF(ISBLANK(H$1),"",","),""))</f>
        <v>"stop":"Detener",</v>
      </c>
    </row>
    <row r="144" spans="6:7" x14ac:dyDescent="0.3">
      <c r="F144" t="str">
        <f>IF(ISBLANK(Input!$B144),"",Input!$A144&amp;""""&amp;Input!$B144&amp;""":"&amp;Input!$C144&amp;Input!E144&amp;Input!$C144&amp;Input!$D144&amp;IF(ISBLANK(Input!$B145),"}"&amp;IF(ISBLANK(G$1),"",","),""))</f>
        <v>"ts":"Sampling time, $T_S$",</v>
      </c>
      <c r="G144" t="str">
        <f>IF(ISBLANK(Input!$B144),"",Input!$A144&amp;""""&amp;Input!$B144&amp;""":"&amp;Input!$C144&amp;Input!F144&amp;Input!$C144&amp;Input!$D144&amp;IF(ISBLANK(Input!$B145),"}"&amp;IF(ISBLANK(H$1),"",","),""))</f>
        <v>"ts":"Tiempo de muestreo, $T_S$",</v>
      </c>
    </row>
    <row r="145" spans="6:7" x14ac:dyDescent="0.3">
      <c r="F145" t="str">
        <f>IF(ISBLANK(Input!$B145),"",Input!$A145&amp;""""&amp;Input!$B145&amp;""":"&amp;Input!$C145&amp;Input!E145&amp;Input!$C145&amp;Input!$D145&amp;IF(ISBLANK(Input!$B146),"}"&amp;IF(ISBLANK(G$1),"",","),""))</f>
        <v>"tPeriod":"Execution time, $T$"}},</v>
      </c>
      <c r="G145" t="str">
        <f>IF(ISBLANK(Input!$B145),"",Input!$A145&amp;""""&amp;Input!$B145&amp;""":"&amp;Input!$C145&amp;Input!F145&amp;Input!$C145&amp;Input!$D145&amp;IF(ISBLANK(Input!$B146),"}"&amp;IF(ISBLANK(H$1),"",","),""))</f>
        <v>"tPeriod":"Tiempo de ejecución, $T$"}}</v>
      </c>
    </row>
    <row r="146" spans="6:7" x14ac:dyDescent="0.3">
      <c r="F146" t="str">
        <f>IF(ISBLANK(Input!$B146),"",Input!$A146&amp;""""&amp;Input!$B146&amp;""":"&amp;Input!$C146&amp;Input!E146&amp;Input!$C146&amp;Input!$D146&amp;IF(ISBLANK(Input!$B147),"}"&amp;IF(ISBLANK(G$1),"",","),""))</f>
        <v/>
      </c>
      <c r="G146" t="str">
        <f>IF(ISBLANK(Input!$B146),"",Input!$A146&amp;""""&amp;Input!$B146&amp;""":"&amp;Input!$C146&amp;Input!F146&amp;Input!$C146&amp;Input!$D146&amp;IF(ISBLANK(Input!$B147),"}"&amp;IF(ISBLANK(H$1),"",","),""))</f>
        <v/>
      </c>
    </row>
    <row r="147" spans="6:7" x14ac:dyDescent="0.3">
      <c r="F147" t="str">
        <f>IF(ISBLANK(Input!$B147),"",Input!$A147&amp;""""&amp;Input!$B147&amp;""":"&amp;Input!$C147&amp;Input!E147&amp;Input!$C147&amp;Input!$D147&amp;IF(ISBLANK(Input!$B148),"}"&amp;IF(ISBLANK(G$1),"",","),""))</f>
        <v/>
      </c>
      <c r="G147" t="str">
        <f>IF(ISBLANK(Input!$B147),"",Input!$A147&amp;""""&amp;Input!$B147&amp;""":"&amp;Input!$C147&amp;Input!F147&amp;Input!$C147&amp;Input!$D147&amp;IF(ISBLANK(Input!$B148),"}"&amp;IF(ISBLANK(H$1),"",","),""))</f>
        <v/>
      </c>
    </row>
    <row r="148" spans="6:7" x14ac:dyDescent="0.3">
      <c r="F148" t="str">
        <f>IF(ISBLANK(Input!$B148),"",Input!$A148&amp;""""&amp;Input!$B148&amp;""":"&amp;Input!$C148&amp;Input!E148&amp;Input!$C148&amp;Input!$D148&amp;IF(ISBLANK(Input!$B149),"}"&amp;IF(ISBLANK(G$1),"",","),""))</f>
        <v/>
      </c>
      <c r="G148" t="str">
        <f>IF(ISBLANK(Input!$B148),"",Input!$A148&amp;""""&amp;Input!$B148&amp;""":"&amp;Input!$C148&amp;Input!F148&amp;Input!$C148&amp;Input!$D148&amp;IF(ISBLANK(Input!$B149),"}"&amp;IF(ISBLANK(H$1),"",","),""))</f>
        <v/>
      </c>
    </row>
    <row r="149" spans="6:7" x14ac:dyDescent="0.3">
      <c r="F149" t="str">
        <f>IF(ISBLANK(Input!$B149),"",Input!$A149&amp;""""&amp;Input!$B149&amp;""":"&amp;Input!$C149&amp;Input!E149&amp;Input!$C149&amp;Input!$D149&amp;IF(ISBLANK(Input!$B150),"}"&amp;IF(ISBLANK(G$1),"",","),""))</f>
        <v/>
      </c>
      <c r="G149" t="str">
        <f>IF(ISBLANK(Input!$B149),"",Input!$A149&amp;""""&amp;Input!$B149&amp;""":"&amp;Input!$C149&amp;Input!F149&amp;Input!$C149&amp;Input!$D149&amp;IF(ISBLANK(Input!$B150),"}"&amp;IF(ISBLANK(H$1),"",","),""))</f>
        <v/>
      </c>
    </row>
    <row r="150" spans="6:7" x14ac:dyDescent="0.3">
      <c r="F150" t="str">
        <f>IF(ISBLANK(Input!$B150),"",Input!$A150&amp;""""&amp;Input!$B150&amp;""":"&amp;Input!$C150&amp;Input!E150&amp;Input!$C150&amp;Input!$D150&amp;IF(ISBLANK(Input!$B151),"}"&amp;IF(ISBLANK(G$1),"",","),""))</f>
        <v/>
      </c>
      <c r="G150" t="str">
        <f>IF(ISBLANK(Input!$B150),"",Input!$A150&amp;""""&amp;Input!$B150&amp;""":"&amp;Input!$C150&amp;Input!F150&amp;Input!$C150&amp;Input!$D150&amp;IF(ISBLANK(Input!$B151),"}"&amp;IF(ISBLANK(H$1),"",","),""))</f>
        <v/>
      </c>
    </row>
    <row r="151" spans="6:7" x14ac:dyDescent="0.3">
      <c r="F151" t="str">
        <f>IF(ISBLANK(Input!$B151),"",Input!$A151&amp;""""&amp;Input!$B151&amp;""":"&amp;Input!$C151&amp;Input!E151&amp;Input!$C151&amp;Input!$D151&amp;IF(ISBLANK(Input!$B152),"}"&amp;IF(ISBLANK(G$1),"",","),""))</f>
        <v/>
      </c>
      <c r="G151" t="str">
        <f>IF(ISBLANK(Input!$B151),"",Input!$A151&amp;""""&amp;Input!$B151&amp;""":"&amp;Input!$C151&amp;Input!F151&amp;Input!$C151&amp;Input!$D151&amp;IF(ISBLANK(Input!$B152),"}"&amp;IF(ISBLANK(H$1),"",","),""))</f>
        <v/>
      </c>
    </row>
    <row r="152" spans="6:7" x14ac:dyDescent="0.3">
      <c r="F152" t="str">
        <f>IF(ISBLANK(Input!$B152),"",Input!$A152&amp;""""&amp;Input!$B152&amp;""":"&amp;Input!$C152&amp;Input!E152&amp;Input!$C152&amp;Input!$D152&amp;IF(ISBLANK(Input!$B153),"}"&amp;IF(ISBLANK(G$1),"",","),""))</f>
        <v/>
      </c>
      <c r="G152" t="str">
        <f>IF(ISBLANK(Input!$B152),"",Input!$A152&amp;""""&amp;Input!$B152&amp;""":"&amp;Input!$C152&amp;Input!F152&amp;Input!$C152&amp;Input!$D152&amp;IF(ISBLANK(Input!$B153),"}"&amp;IF(ISBLANK(H$1),"",","),""))</f>
        <v/>
      </c>
    </row>
    <row r="153" spans="6:7" x14ac:dyDescent="0.3">
      <c r="F153" t="str">
        <f>IF(ISBLANK(Input!$B153),"",Input!$A153&amp;""""&amp;Input!$B153&amp;""":"&amp;Input!$C153&amp;Input!E153&amp;Input!$C153&amp;Input!$D153&amp;IF(ISBLANK(Input!$B154),"}"&amp;IF(ISBLANK(G$1),"",","),""))</f>
        <v/>
      </c>
      <c r="G153" t="str">
        <f>IF(ISBLANK(Input!$B153),"",Input!$A153&amp;""""&amp;Input!$B153&amp;""":"&amp;Input!$C153&amp;Input!F153&amp;Input!$C153&amp;Input!$D153&amp;IF(ISBLANK(Input!$B154),"}"&amp;IF(ISBLANK(H$1),"",","),""))</f>
        <v/>
      </c>
    </row>
    <row r="154" spans="6:7" x14ac:dyDescent="0.3">
      <c r="F154" t="str">
        <f>IF(ISBLANK(Input!$B154),"",Input!$A154&amp;""""&amp;Input!$B154&amp;""":"&amp;Input!$C154&amp;Input!E154&amp;Input!$C154&amp;Input!$D154&amp;IF(ISBLANK(Input!$B155),"}"&amp;IF(ISBLANK(G$1),"",","),""))</f>
        <v/>
      </c>
      <c r="G154" t="str">
        <f>IF(ISBLANK(Input!$B154),"",Input!$A154&amp;""""&amp;Input!$B154&amp;""":"&amp;Input!$C154&amp;Input!F154&amp;Input!$C154&amp;Input!$D154&amp;IF(ISBLANK(Input!$B155),"}"&amp;IF(ISBLANK(H$1),"",","),""))</f>
        <v/>
      </c>
    </row>
    <row r="155" spans="6:7" x14ac:dyDescent="0.3">
      <c r="F155" t="str">
        <f>IF(ISBLANK(Input!$B155),"",Input!$A155&amp;""""&amp;Input!$B155&amp;""":"&amp;Input!$C155&amp;Input!E155&amp;Input!$C155&amp;Input!$D155&amp;IF(ISBLANK(Input!$B156),"}"&amp;IF(ISBLANK(G$1),"",","),""))</f>
        <v/>
      </c>
      <c r="G155" t="str">
        <f>IF(ISBLANK(Input!$B155),"",Input!$A155&amp;""""&amp;Input!$B155&amp;""":"&amp;Input!$C155&amp;Input!F155&amp;Input!$C155&amp;Input!$D155&amp;IF(ISBLANK(Input!$B156),"}"&amp;IF(ISBLANK(H$1),"",","),""))</f>
        <v/>
      </c>
    </row>
    <row r="156" spans="6:7" x14ac:dyDescent="0.3">
      <c r="F156" t="str">
        <f>IF(ISBLANK(Input!$B156),"",Input!$A156&amp;""""&amp;Input!$B156&amp;""":"&amp;Input!$C156&amp;Input!E156&amp;Input!$C156&amp;Input!$D156&amp;IF(ISBLANK(Input!$B157),"}"&amp;IF(ISBLANK(G$1),"",","),""))</f>
        <v/>
      </c>
      <c r="G156" t="str">
        <f>IF(ISBLANK(Input!$B156),"",Input!$A156&amp;""""&amp;Input!$B156&amp;""":"&amp;Input!$C156&amp;Input!F156&amp;Input!$C156&amp;Input!$D156&amp;IF(ISBLANK(Input!$B157),"}"&amp;IF(ISBLANK(H$1),"",","),""))</f>
        <v/>
      </c>
    </row>
    <row r="157" spans="6:7" x14ac:dyDescent="0.3">
      <c r="F157" t="str">
        <f>IF(ISBLANK(Input!$B157),"",Input!$A157&amp;""""&amp;Input!$B157&amp;""":"&amp;Input!$C157&amp;Input!E157&amp;Input!$C157&amp;Input!$D157&amp;IF(ISBLANK(Input!$B158),"}"&amp;IF(ISBLANK(G$1),"",","),""))</f>
        <v/>
      </c>
      <c r="G157" t="str">
        <f>IF(ISBLANK(Input!$B157),"",Input!$A157&amp;""""&amp;Input!$B157&amp;""":"&amp;Input!$C157&amp;Input!F157&amp;Input!$C157&amp;Input!$D157&amp;IF(ISBLANK(Input!$B158),"}"&amp;IF(ISBLANK(H$1),"",","),""))</f>
        <v/>
      </c>
    </row>
    <row r="158" spans="6:7" x14ac:dyDescent="0.3">
      <c r="F158" t="str">
        <f>IF(ISBLANK(Input!$B158),"",Input!$A158&amp;""""&amp;Input!$B158&amp;""":"&amp;Input!$C158&amp;Input!E158&amp;Input!$C158&amp;Input!$D158&amp;IF(ISBLANK(Input!$B159),"}"&amp;IF(ISBLANK(G$1),"",","),""))</f>
        <v/>
      </c>
      <c r="G158" t="str">
        <f>IF(ISBLANK(Input!$B158),"",Input!$A158&amp;""""&amp;Input!$B158&amp;""":"&amp;Input!$C158&amp;Input!F158&amp;Input!$C158&amp;Input!$D158&amp;IF(ISBLANK(Input!$B159),"}"&amp;IF(ISBLANK(H$1),"",","),""))</f>
        <v/>
      </c>
    </row>
    <row r="159" spans="6:7" x14ac:dyDescent="0.3">
      <c r="F159" t="str">
        <f>IF(ISBLANK(Input!$B159),"",Input!$A159&amp;""""&amp;Input!$B159&amp;""":"&amp;Input!$C159&amp;Input!E159&amp;Input!$C159&amp;Input!$D159&amp;IF(ISBLANK(Input!$B160),"}"&amp;IF(ISBLANK(G$1),"",","),""))</f>
        <v/>
      </c>
      <c r="G159" t="str">
        <f>IF(ISBLANK(Input!$B159),"",Input!$A159&amp;""""&amp;Input!$B159&amp;""":"&amp;Input!$C159&amp;Input!F159&amp;Input!$C159&amp;Input!$D159&amp;IF(ISBLANK(Input!$B160),"}"&amp;IF(ISBLANK(H$1),"",","),""))</f>
        <v/>
      </c>
    </row>
    <row r="160" spans="6:7" x14ac:dyDescent="0.3">
      <c r="F160" t="str">
        <f>IF(ISBLANK(Input!$B160),"",Input!$A160&amp;""""&amp;Input!$B160&amp;""":"&amp;Input!$C160&amp;Input!E160&amp;Input!$C160&amp;Input!$D160&amp;IF(ISBLANK(Input!$B161),"}"&amp;IF(ISBLANK(G$1),"",","),""))</f>
        <v/>
      </c>
      <c r="G160" t="str">
        <f>IF(ISBLANK(Input!$B160),"",Input!$A160&amp;""""&amp;Input!$B160&amp;""":"&amp;Input!$C160&amp;Input!F160&amp;Input!$C160&amp;Input!$D160&amp;IF(ISBLANK(Input!$B161),"}"&amp;IF(ISBLANK(H$1),"",","),""))</f>
        <v/>
      </c>
    </row>
    <row r="161" spans="6:7" x14ac:dyDescent="0.3">
      <c r="F161" t="str">
        <f>IF(ISBLANK(Input!$B161),"",Input!$A161&amp;""""&amp;Input!$B161&amp;""":"&amp;Input!$C161&amp;Input!E161&amp;Input!$C161&amp;Input!$D161&amp;IF(ISBLANK(Input!$B162),"}"&amp;IF(ISBLANK(G$1),"",","),""))</f>
        <v/>
      </c>
      <c r="G161" t="str">
        <f>IF(ISBLANK(Input!$B161),"",Input!$A161&amp;""""&amp;Input!$B161&amp;""":"&amp;Input!$C161&amp;Input!F161&amp;Input!$C161&amp;Input!$D161&amp;IF(ISBLANK(Input!$B162),"}"&amp;IF(ISBLANK(H$1),"",","),""))</f>
        <v/>
      </c>
    </row>
    <row r="162" spans="6:7" x14ac:dyDescent="0.3">
      <c r="F162" t="str">
        <f>IF(ISBLANK(Input!$B162),"",Input!$A162&amp;""""&amp;Input!$B162&amp;""":"&amp;Input!$C162&amp;Input!E162&amp;Input!$C162&amp;Input!$D162&amp;IF(ISBLANK(Input!$B163),"}"&amp;IF(ISBLANK(G$1),"",","),""))</f>
        <v/>
      </c>
      <c r="G162" t="str">
        <f>IF(ISBLANK(Input!$B162),"",Input!$A162&amp;""""&amp;Input!$B162&amp;""":"&amp;Input!$C162&amp;Input!F162&amp;Input!$C162&amp;Input!$D162&amp;IF(ISBLANK(Input!$B163),"}"&amp;IF(ISBLANK(H$1),"",","),""))</f>
        <v/>
      </c>
    </row>
    <row r="163" spans="6:7" x14ac:dyDescent="0.3">
      <c r="F163" t="str">
        <f>IF(ISBLANK(Input!$B163),"",Input!$A163&amp;""""&amp;Input!$B163&amp;""":"&amp;Input!$C163&amp;Input!E163&amp;Input!$C163&amp;Input!$D163&amp;IF(ISBLANK(Input!$B164),"}"&amp;IF(ISBLANK(G$1),"",","),""))</f>
        <v/>
      </c>
      <c r="G163" t="str">
        <f>IF(ISBLANK(Input!$B163),"",Input!$A163&amp;""""&amp;Input!$B163&amp;""":"&amp;Input!$C163&amp;Input!F163&amp;Input!$C163&amp;Input!$D163&amp;IF(ISBLANK(Input!$B164),"}"&amp;IF(ISBLANK(H$1),"",","),""))</f>
        <v/>
      </c>
    </row>
    <row r="164" spans="6:7" x14ac:dyDescent="0.3">
      <c r="F164" t="str">
        <f>IF(ISBLANK(Input!$B164),"",Input!$A164&amp;""""&amp;Input!$B164&amp;""":"&amp;Input!$C164&amp;Input!E164&amp;Input!$C164&amp;Input!$D164&amp;IF(ISBLANK(Input!$B165),"}"&amp;IF(ISBLANK(G$1),"",","),""))</f>
        <v/>
      </c>
      <c r="G164" t="str">
        <f>IF(ISBLANK(Input!$B164),"",Input!$A164&amp;""""&amp;Input!$B164&amp;""":"&amp;Input!$C164&amp;Input!F164&amp;Input!$C164&amp;Input!$D164&amp;IF(ISBLANK(Input!$B165),"}"&amp;IF(ISBLANK(H$1),"",","),""))</f>
        <v/>
      </c>
    </row>
    <row r="165" spans="6:7" x14ac:dyDescent="0.3">
      <c r="F165" t="str">
        <f>IF(ISBLANK(Input!$B165),"",Input!$A165&amp;""""&amp;Input!$B165&amp;""":"&amp;Input!$C165&amp;Input!E165&amp;Input!$C165&amp;Input!$D165&amp;IF(ISBLANK(Input!$B166),"}"&amp;IF(ISBLANK(G$1),"",","),""))</f>
        <v/>
      </c>
      <c r="G165" t="str">
        <f>IF(ISBLANK(Input!$B165),"",Input!$A165&amp;""""&amp;Input!$B165&amp;""":"&amp;Input!$C165&amp;Input!F165&amp;Input!$C165&amp;Input!$D165&amp;IF(ISBLANK(Input!$B166),"}"&amp;IF(ISBLANK(H$1),"",","),""))</f>
        <v/>
      </c>
    </row>
    <row r="166" spans="6:7" x14ac:dyDescent="0.3">
      <c r="F166" t="str">
        <f>IF(ISBLANK(Input!$B166),"",Input!$A166&amp;""""&amp;Input!$B166&amp;""":"&amp;Input!$C166&amp;Input!E166&amp;Input!$C166&amp;Input!$D166&amp;IF(ISBLANK(Input!$B167),"}"&amp;IF(ISBLANK(G$1),"",","),""))</f>
        <v/>
      </c>
      <c r="G166" t="str">
        <f>IF(ISBLANK(Input!$B166),"",Input!$A166&amp;""""&amp;Input!$B166&amp;""":"&amp;Input!$C166&amp;Input!F166&amp;Input!$C166&amp;Input!$D166&amp;IF(ISBLANK(Input!$B167),"}"&amp;IF(ISBLANK(H$1),"",","),""))</f>
        <v/>
      </c>
    </row>
    <row r="167" spans="6:7" x14ac:dyDescent="0.3">
      <c r="F167" t="str">
        <f>IF(ISBLANK(Input!$B167),"",Input!$A167&amp;""""&amp;Input!$B167&amp;""":"&amp;Input!$C167&amp;Input!E167&amp;Input!$C167&amp;Input!$D167&amp;IF(ISBLANK(Input!$B168),"}"&amp;IF(ISBLANK(G$1),"",","),""))</f>
        <v/>
      </c>
      <c r="G167" t="str">
        <f>IF(ISBLANK(Input!$B167),"",Input!$A167&amp;""""&amp;Input!$B167&amp;""":"&amp;Input!$C167&amp;Input!F167&amp;Input!$C167&amp;Input!$D167&amp;IF(ISBLANK(Input!$B168),"}"&amp;IF(ISBLANK(H$1),"",","),""))</f>
        <v/>
      </c>
    </row>
    <row r="168" spans="6:7" x14ac:dyDescent="0.3">
      <c r="F168" t="str">
        <f>IF(ISBLANK(Input!$B168),"",Input!$A168&amp;""""&amp;Input!$B168&amp;""":"&amp;Input!$C168&amp;Input!E168&amp;Input!$C168&amp;Input!$D168&amp;IF(ISBLANK(Input!$B169),"}"&amp;IF(ISBLANK(G$1),"",","),""))</f>
        <v/>
      </c>
      <c r="G168" t="str">
        <f>IF(ISBLANK(Input!$B168),"",Input!$A168&amp;""""&amp;Input!$B168&amp;""":"&amp;Input!$C168&amp;Input!F168&amp;Input!$C168&amp;Input!$D168&amp;IF(ISBLANK(Input!$B169),"}"&amp;IF(ISBLANK(H$1),"",","),""))</f>
        <v/>
      </c>
    </row>
    <row r="169" spans="6:7" x14ac:dyDescent="0.3">
      <c r="F169" t="str">
        <f>IF(ISBLANK(Input!$B169),"",Input!$A169&amp;""""&amp;Input!$B169&amp;""":"&amp;Input!$C169&amp;Input!E169&amp;Input!$C169&amp;Input!$D169&amp;IF(ISBLANK(Input!$B170),"}"&amp;IF(ISBLANK(G$1),"",","),""))</f>
        <v/>
      </c>
      <c r="G169" t="str">
        <f>IF(ISBLANK(Input!$B169),"",Input!$A169&amp;""""&amp;Input!$B169&amp;""":"&amp;Input!$C169&amp;Input!F169&amp;Input!$C169&amp;Input!$D169&amp;IF(ISBLANK(Input!$B170),"}"&amp;IF(ISBLANK(H$1),"",","),""))</f>
        <v/>
      </c>
    </row>
    <row r="170" spans="6:7" x14ac:dyDescent="0.3">
      <c r="F170" t="str">
        <f>IF(ISBLANK(Input!$B170),"",Input!$A170&amp;""""&amp;Input!$B170&amp;""":"&amp;Input!$C170&amp;Input!E170&amp;Input!$C170&amp;Input!$D170&amp;IF(ISBLANK(Input!$B171),"}"&amp;IF(ISBLANK(G$1),"",","),""))</f>
        <v/>
      </c>
      <c r="G170" t="str">
        <f>IF(ISBLANK(Input!$B170),"",Input!$A170&amp;""""&amp;Input!$B170&amp;""":"&amp;Input!$C170&amp;Input!F170&amp;Input!$C170&amp;Input!$D170&amp;IF(ISBLANK(Input!$B171),"}"&amp;IF(ISBLANK(H$1),"",","),""))</f>
        <v/>
      </c>
    </row>
    <row r="171" spans="6:7" x14ac:dyDescent="0.3">
      <c r="F171" t="str">
        <f>IF(ISBLANK(Input!$B171),"",Input!$A171&amp;""""&amp;Input!$B171&amp;""":"&amp;Input!$C171&amp;Input!E171&amp;Input!$C171&amp;Input!$D171&amp;IF(ISBLANK(Input!$B172),"}"&amp;IF(ISBLANK(G$1),"",","),""))</f>
        <v/>
      </c>
      <c r="G171" t="str">
        <f>IF(ISBLANK(Input!$B171),"",Input!$A171&amp;""""&amp;Input!$B171&amp;""":"&amp;Input!$C171&amp;Input!F171&amp;Input!$C171&amp;Input!$D171&amp;IF(ISBLANK(Input!$B172),"}"&amp;IF(ISBLANK(H$1),"",","),""))</f>
        <v/>
      </c>
    </row>
    <row r="172" spans="6:7" x14ac:dyDescent="0.3">
      <c r="F172" t="str">
        <f>IF(ISBLANK(Input!$B172),"",Input!$A172&amp;""""&amp;Input!$B172&amp;""":"&amp;Input!$C172&amp;Input!E172&amp;Input!$C172&amp;Input!$D172&amp;IF(ISBLANK(Input!$B173),"}"&amp;IF(ISBLANK(G$1),"",","),""))</f>
        <v/>
      </c>
      <c r="G172" t="str">
        <f>IF(ISBLANK(Input!$B172),"",Input!$A172&amp;""""&amp;Input!$B172&amp;""":"&amp;Input!$C172&amp;Input!F172&amp;Input!$C172&amp;Input!$D172&amp;IF(ISBLANK(Input!$B173),"}"&amp;IF(ISBLANK(H$1),"",","),""))</f>
        <v/>
      </c>
    </row>
    <row r="173" spans="6:7" x14ac:dyDescent="0.3">
      <c r="F173" t="str">
        <f>IF(ISBLANK(Input!$B173),"",Input!$A173&amp;""""&amp;Input!$B173&amp;""":"&amp;Input!$C173&amp;Input!E173&amp;Input!$C173&amp;Input!$D173&amp;IF(ISBLANK(Input!$B174),"}"&amp;IF(ISBLANK(G$1),"",","),""))</f>
        <v/>
      </c>
      <c r="G173" t="str">
        <f>IF(ISBLANK(Input!$B173),"",Input!$A173&amp;""""&amp;Input!$B173&amp;""":"&amp;Input!$C173&amp;Input!F173&amp;Input!$C173&amp;Input!$D173&amp;IF(ISBLANK(Input!$B174),"}"&amp;IF(ISBLANK(H$1),"",","),""))</f>
        <v/>
      </c>
    </row>
    <row r="174" spans="6:7" x14ac:dyDescent="0.3">
      <c r="F174" t="str">
        <f>IF(ISBLANK(Input!$B174),"",Input!$A174&amp;""""&amp;Input!$B174&amp;""":"&amp;Input!$C174&amp;Input!E174&amp;Input!$C174&amp;Input!$D174&amp;IF(ISBLANK(Input!$B175),"}"&amp;IF(ISBLANK(G$1),"",","),""))</f>
        <v/>
      </c>
      <c r="G174" t="str">
        <f>IF(ISBLANK(Input!$B174),"",Input!$A174&amp;""""&amp;Input!$B174&amp;""":"&amp;Input!$C174&amp;Input!F174&amp;Input!$C174&amp;Input!$D174&amp;IF(ISBLANK(Input!$B175),"}"&amp;IF(ISBLANK(H$1),"",","),""))</f>
        <v/>
      </c>
    </row>
    <row r="175" spans="6:7" x14ac:dyDescent="0.3">
      <c r="F175" t="str">
        <f>IF(ISBLANK(Input!$B175),"",Input!$A175&amp;""""&amp;Input!$B175&amp;""":"&amp;Input!$C175&amp;Input!E175&amp;Input!$C175&amp;Input!$D175&amp;IF(ISBLANK(Input!$B176),"}"&amp;IF(ISBLANK(G$1),"",","),""))</f>
        <v/>
      </c>
      <c r="G175" t="str">
        <f>IF(ISBLANK(Input!$B175),"",Input!$A175&amp;""""&amp;Input!$B175&amp;""":"&amp;Input!$C175&amp;Input!F175&amp;Input!$C175&amp;Input!$D175&amp;IF(ISBLANK(Input!$B176),"}"&amp;IF(ISBLANK(H$1),"",","),""))</f>
        <v/>
      </c>
    </row>
    <row r="176" spans="6:7" x14ac:dyDescent="0.3">
      <c r="F176" t="str">
        <f>IF(ISBLANK(Input!$B176),"",Input!$A176&amp;""""&amp;Input!$B176&amp;""":"&amp;Input!$C176&amp;Input!E176&amp;Input!$C176&amp;Input!$D176&amp;IF(ISBLANK(Input!$B177),"}"&amp;IF(ISBLANK(G$1),"",","),""))</f>
        <v/>
      </c>
      <c r="G176" t="str">
        <f>IF(ISBLANK(Input!$B176),"",Input!$A176&amp;""""&amp;Input!$B176&amp;""":"&amp;Input!$C176&amp;Input!F176&amp;Input!$C176&amp;Input!$D176&amp;IF(ISBLANK(Input!$B177),"}"&amp;IF(ISBLANK(H$1),"",","),""))</f>
        <v/>
      </c>
    </row>
    <row r="177" spans="6:7" x14ac:dyDescent="0.3">
      <c r="F177" t="str">
        <f>IF(ISBLANK(Input!$B177),"",Input!$A177&amp;""""&amp;Input!$B177&amp;""":"&amp;Input!$C177&amp;Input!E177&amp;Input!$C177&amp;Input!$D177&amp;IF(ISBLANK(Input!$B178),"}"&amp;IF(ISBLANK(G$1),"",","),""))</f>
        <v/>
      </c>
      <c r="G177" t="str">
        <f>IF(ISBLANK(Input!$B177),"",Input!$A177&amp;""""&amp;Input!$B177&amp;""":"&amp;Input!$C177&amp;Input!F177&amp;Input!$C177&amp;Input!$D177&amp;IF(ISBLANK(Input!$B178),"}"&amp;IF(ISBLANK(H$1),"",","),""))</f>
        <v/>
      </c>
    </row>
    <row r="178" spans="6:7" x14ac:dyDescent="0.3">
      <c r="F178" t="str">
        <f>IF(ISBLANK(Input!$B178),"",Input!$A178&amp;""""&amp;Input!$B178&amp;""":"&amp;Input!$C178&amp;Input!E178&amp;Input!$C178&amp;Input!$D178&amp;IF(ISBLANK(Input!$B179),"}"&amp;IF(ISBLANK(G$1),"",","),""))</f>
        <v/>
      </c>
      <c r="G178" t="str">
        <f>IF(ISBLANK(Input!$B178),"",Input!$A178&amp;""""&amp;Input!$B178&amp;""":"&amp;Input!$C178&amp;Input!F178&amp;Input!$C178&amp;Input!$D178&amp;IF(ISBLANK(Input!$B179),"}"&amp;IF(ISBLANK(H$1),"",","),""))</f>
        <v/>
      </c>
    </row>
    <row r="179" spans="6:7" x14ac:dyDescent="0.3">
      <c r="F179" t="str">
        <f>IF(ISBLANK(Input!$B179),"",Input!$A179&amp;""""&amp;Input!$B179&amp;""":"&amp;Input!$C179&amp;Input!E179&amp;Input!$C179&amp;Input!$D179&amp;IF(ISBLANK(Input!$B180),"}"&amp;IF(ISBLANK(G$1),"",","),""))</f>
        <v/>
      </c>
      <c r="G179" t="str">
        <f>IF(ISBLANK(Input!$B179),"",Input!$A179&amp;""""&amp;Input!$B179&amp;""":"&amp;Input!$C179&amp;Input!F179&amp;Input!$C179&amp;Input!$D179&amp;IF(ISBLANK(Input!$B180),"}"&amp;IF(ISBLANK(H$1),"",","),""))</f>
        <v/>
      </c>
    </row>
    <row r="180" spans="6:7" x14ac:dyDescent="0.3">
      <c r="F180" t="str">
        <f>IF(ISBLANK(Input!$B180),"",Input!$A180&amp;""""&amp;Input!$B180&amp;""":"&amp;Input!$C180&amp;Input!E180&amp;Input!$C180&amp;Input!$D180&amp;IF(ISBLANK(Input!$B181),"}"&amp;IF(ISBLANK(G$1),"",","),""))</f>
        <v/>
      </c>
      <c r="G180" t="str">
        <f>IF(ISBLANK(Input!$B180),"",Input!$A180&amp;""""&amp;Input!$B180&amp;""":"&amp;Input!$C180&amp;Input!F180&amp;Input!$C180&amp;Input!$D180&amp;IF(ISBLANK(Input!$B181),"}"&amp;IF(ISBLANK(H$1),"",","),""))</f>
        <v/>
      </c>
    </row>
    <row r="181" spans="6:7" x14ac:dyDescent="0.3">
      <c r="F181" t="str">
        <f>IF(ISBLANK(Input!$B181),"",Input!$A181&amp;""""&amp;Input!$B181&amp;""":"&amp;Input!$C181&amp;Input!E181&amp;Input!$C181&amp;Input!$D181&amp;IF(ISBLANK(Input!$B182),"}"&amp;IF(ISBLANK(G$1),"",","),""))</f>
        <v/>
      </c>
      <c r="G181" t="str">
        <f>IF(ISBLANK(Input!$B181),"",Input!$A181&amp;""""&amp;Input!$B181&amp;""":"&amp;Input!$C181&amp;Input!F181&amp;Input!$C181&amp;Input!$D181&amp;IF(ISBLANK(Input!$B182),"}"&amp;IF(ISBLANK(H$1),"",","),""))</f>
        <v/>
      </c>
    </row>
    <row r="182" spans="6:7" x14ac:dyDescent="0.3">
      <c r="F182" t="str">
        <f>IF(ISBLANK(Input!$B182),"",Input!$A182&amp;""""&amp;Input!$B182&amp;""":"&amp;Input!$C182&amp;Input!E182&amp;Input!$C182&amp;Input!$D182&amp;IF(ISBLANK(Input!$B183),"}"&amp;IF(ISBLANK(G$1),"",","),""))</f>
        <v/>
      </c>
      <c r="G182" t="str">
        <f>IF(ISBLANK(Input!$B182),"",Input!$A182&amp;""""&amp;Input!$B182&amp;""":"&amp;Input!$C182&amp;Input!F182&amp;Input!$C182&amp;Input!$D182&amp;IF(ISBLANK(Input!$B183),"}"&amp;IF(ISBLANK(H$1),"",","),""))</f>
        <v/>
      </c>
    </row>
    <row r="183" spans="6:7" x14ac:dyDescent="0.3">
      <c r="F183" t="str">
        <f>IF(ISBLANK(Input!$B183),"",Input!$A183&amp;""""&amp;Input!$B183&amp;""":"&amp;Input!$C183&amp;Input!E183&amp;Input!$C183&amp;Input!$D183&amp;IF(ISBLANK(Input!$B184),"}"&amp;IF(ISBLANK(G$1),"",","),""))</f>
        <v/>
      </c>
      <c r="G183" t="str">
        <f>IF(ISBLANK(Input!$B183),"",Input!$A183&amp;""""&amp;Input!$B183&amp;""":"&amp;Input!$C183&amp;Input!F183&amp;Input!$C183&amp;Input!$D183&amp;IF(ISBLANK(Input!$B184),"}"&amp;IF(ISBLANK(H$1),"",","),""))</f>
        <v/>
      </c>
    </row>
    <row r="184" spans="6:7" x14ac:dyDescent="0.3">
      <c r="F184" t="str">
        <f>IF(ISBLANK(Input!$B184),"",Input!$A184&amp;""""&amp;Input!$B184&amp;""":"&amp;Input!$C184&amp;Input!E184&amp;Input!$C184&amp;Input!$D184&amp;IF(ISBLANK(Input!$B185),"}"&amp;IF(ISBLANK(G$1),"",","),""))</f>
        <v/>
      </c>
      <c r="G184" t="str">
        <f>IF(ISBLANK(Input!$B184),"",Input!$A184&amp;""""&amp;Input!$B184&amp;""":"&amp;Input!$C184&amp;Input!F184&amp;Input!$C184&amp;Input!$D184&amp;IF(ISBLANK(Input!$B185),"}"&amp;IF(ISBLANK(H$1),"",","),""))</f>
        <v/>
      </c>
    </row>
    <row r="185" spans="6:7" x14ac:dyDescent="0.3">
      <c r="F185" t="str">
        <f>IF(ISBLANK(Input!$B185),"",Input!$A185&amp;""""&amp;Input!$B185&amp;""":"&amp;Input!$C185&amp;Input!E185&amp;Input!$C185&amp;Input!$D185&amp;IF(ISBLANK(Input!$B186),"}"&amp;IF(ISBLANK(G$1),"",","),""))</f>
        <v/>
      </c>
      <c r="G185" t="str">
        <f>IF(ISBLANK(Input!$B185),"",Input!$A185&amp;""""&amp;Input!$B185&amp;""":"&amp;Input!$C185&amp;Input!F185&amp;Input!$C185&amp;Input!$D185&amp;IF(ISBLANK(Input!$B186),"}"&amp;IF(ISBLANK(H$1),"",","),""))</f>
        <v/>
      </c>
    </row>
    <row r="186" spans="6:7" x14ac:dyDescent="0.3">
      <c r="F186" t="str">
        <f>IF(ISBLANK(Input!$B186),"",Input!$A186&amp;""""&amp;Input!$B186&amp;""":"&amp;Input!$C186&amp;Input!E186&amp;Input!$C186&amp;Input!$D186&amp;IF(ISBLANK(Input!$B187),"}"&amp;IF(ISBLANK(G$1),"",","),""))</f>
        <v/>
      </c>
      <c r="G186" t="str">
        <f>IF(ISBLANK(Input!$B186),"",Input!$A186&amp;""""&amp;Input!$B186&amp;""":"&amp;Input!$C186&amp;Input!F186&amp;Input!$C186&amp;Input!$D186&amp;IF(ISBLANK(Input!$B187),"}"&amp;IF(ISBLANK(H$1),"",","),""))</f>
        <v/>
      </c>
    </row>
    <row r="187" spans="6:7" x14ac:dyDescent="0.3">
      <c r="F187" t="str">
        <f>IF(ISBLANK(Input!$B187),"",Input!$A187&amp;""""&amp;Input!$B187&amp;""":"&amp;Input!$C187&amp;Input!E187&amp;Input!$C187&amp;Input!$D187&amp;IF(ISBLANK(Input!$B188),"}"&amp;IF(ISBLANK(G$1),"",","),""))</f>
        <v/>
      </c>
      <c r="G187" t="str">
        <f>IF(ISBLANK(Input!$B187),"",Input!$A187&amp;""""&amp;Input!$B187&amp;""":"&amp;Input!$C187&amp;Input!F187&amp;Input!$C187&amp;Input!$D187&amp;IF(ISBLANK(Input!$B188),"}"&amp;IF(ISBLANK(H$1),"",","),""))</f>
        <v/>
      </c>
    </row>
    <row r="188" spans="6:7" x14ac:dyDescent="0.3">
      <c r="F188" t="str">
        <f>IF(ISBLANK(Input!$B188),"",Input!$A188&amp;""""&amp;Input!$B188&amp;""":"&amp;Input!$C188&amp;Input!E188&amp;Input!$C188&amp;Input!$D188&amp;IF(ISBLANK(Input!$B189),"}"&amp;IF(ISBLANK(G$1),"",","),""))</f>
        <v/>
      </c>
      <c r="G188" t="str">
        <f>IF(ISBLANK(Input!$B188),"",Input!$A188&amp;""""&amp;Input!$B188&amp;""":"&amp;Input!$C188&amp;Input!F188&amp;Input!$C188&amp;Input!$D188&amp;IF(ISBLANK(Input!$B189),"}"&amp;IF(ISBLANK(H$1),"",","),""))</f>
        <v/>
      </c>
    </row>
    <row r="189" spans="6:7" x14ac:dyDescent="0.3">
      <c r="F189" t="str">
        <f>IF(ISBLANK(Input!$B189),"",Input!$A189&amp;""""&amp;Input!$B189&amp;""":"&amp;Input!$C189&amp;Input!E189&amp;Input!$C189&amp;Input!$D189&amp;IF(ISBLANK(Input!$B190),"}"&amp;IF(ISBLANK(G$1),"",","),""))</f>
        <v/>
      </c>
      <c r="G189" t="str">
        <f>IF(ISBLANK(Input!$B189),"",Input!$A189&amp;""""&amp;Input!$B189&amp;""":"&amp;Input!$C189&amp;Input!F189&amp;Input!$C189&amp;Input!$D189&amp;IF(ISBLANK(Input!$B190),"}"&amp;IF(ISBLANK(H$1),"",","),""))</f>
        <v/>
      </c>
    </row>
    <row r="190" spans="6:7" x14ac:dyDescent="0.3">
      <c r="F190" t="str">
        <f>IF(ISBLANK(Input!$B190),"",Input!$A190&amp;""""&amp;Input!$B190&amp;""":"&amp;Input!$C190&amp;Input!E190&amp;Input!$C190&amp;Input!$D190&amp;IF(ISBLANK(Input!$B191),"}"&amp;IF(ISBLANK(G$1),"",","),""))</f>
        <v/>
      </c>
      <c r="G190" t="str">
        <f>IF(ISBLANK(Input!$B190),"",Input!$A190&amp;""""&amp;Input!$B190&amp;""":"&amp;Input!$C190&amp;Input!F190&amp;Input!$C190&amp;Input!$D190&amp;IF(ISBLANK(Input!$B191),"}"&amp;IF(ISBLANK(H$1),"",","),""))</f>
        <v/>
      </c>
    </row>
    <row r="191" spans="6:7" x14ac:dyDescent="0.3">
      <c r="F191" t="str">
        <f>IF(ISBLANK(Input!$B191),"",Input!$A191&amp;""""&amp;Input!$B191&amp;""":"&amp;Input!$C191&amp;Input!E191&amp;Input!$C191&amp;Input!$D191&amp;IF(ISBLANK(Input!$B192),"}"&amp;IF(ISBLANK(G$1),"",","),""))</f>
        <v/>
      </c>
      <c r="G191" t="str">
        <f>IF(ISBLANK(Input!$B191),"",Input!$A191&amp;""""&amp;Input!$B191&amp;""":"&amp;Input!$C191&amp;Input!F191&amp;Input!$C191&amp;Input!$D191&amp;IF(ISBLANK(Input!$B192),"}"&amp;IF(ISBLANK(H$1),"",","),""))</f>
        <v/>
      </c>
    </row>
    <row r="192" spans="6:7" x14ac:dyDescent="0.3">
      <c r="F192" t="str">
        <f>IF(ISBLANK(Input!$B192),"",Input!$A192&amp;""""&amp;Input!$B192&amp;""":"&amp;Input!$C192&amp;Input!E192&amp;Input!$C192&amp;Input!$D192&amp;IF(ISBLANK(Input!$B193),"}"&amp;IF(ISBLANK(G$1),"",","),""))</f>
        <v/>
      </c>
      <c r="G192" t="str">
        <f>IF(ISBLANK(Input!$B192),"",Input!$A192&amp;""""&amp;Input!$B192&amp;""":"&amp;Input!$C192&amp;Input!F192&amp;Input!$C192&amp;Input!$D192&amp;IF(ISBLANK(Input!$B193),"}"&amp;IF(ISBLANK(H$1),"",","),""))</f>
        <v/>
      </c>
    </row>
    <row r="193" spans="6:7" x14ac:dyDescent="0.3">
      <c r="F193" t="str">
        <f>IF(ISBLANK(Input!$B193),"",Input!$A193&amp;""""&amp;Input!$B193&amp;""":"&amp;Input!$C193&amp;Input!E193&amp;Input!$C193&amp;Input!$D193&amp;IF(ISBLANK(Input!$B194),"}"&amp;IF(ISBLANK(G$1),"",","),""))</f>
        <v/>
      </c>
      <c r="G193" t="str">
        <f>IF(ISBLANK(Input!$B193),"",Input!$A193&amp;""""&amp;Input!$B193&amp;""":"&amp;Input!$C193&amp;Input!F193&amp;Input!$C193&amp;Input!$D193&amp;IF(ISBLANK(Input!$B194),"}"&amp;IF(ISBLANK(H$1),"",","),""))</f>
        <v/>
      </c>
    </row>
    <row r="194" spans="6:7" x14ac:dyDescent="0.3">
      <c r="F194" t="str">
        <f>IF(ISBLANK(Input!$B194),"",Input!$A194&amp;""""&amp;Input!$B194&amp;""":"&amp;Input!$C194&amp;Input!E194&amp;Input!$C194&amp;Input!$D194&amp;IF(ISBLANK(Input!$B195),"}"&amp;IF(ISBLANK(G$1),"",","),""))</f>
        <v/>
      </c>
      <c r="G194" t="str">
        <f>IF(ISBLANK(Input!$B194),"",Input!$A194&amp;""""&amp;Input!$B194&amp;""":"&amp;Input!$C194&amp;Input!F194&amp;Input!$C194&amp;Input!$D194&amp;IF(ISBLANK(Input!$B195),"}"&amp;IF(ISBLANK(H$1),"",","),""))</f>
        <v/>
      </c>
    </row>
    <row r="195" spans="6:7" x14ac:dyDescent="0.3">
      <c r="F195" t="str">
        <f>IF(ISBLANK(Input!$B195),"",Input!$A195&amp;""""&amp;Input!$B195&amp;""":"&amp;Input!$C195&amp;Input!E195&amp;Input!$C195&amp;Input!$D195&amp;IF(ISBLANK(Input!$B196),"}"&amp;IF(ISBLANK(G$1),"",","),""))</f>
        <v/>
      </c>
      <c r="G195" t="str">
        <f>IF(ISBLANK(Input!$B195),"",Input!$A195&amp;""""&amp;Input!$B195&amp;""":"&amp;Input!$C195&amp;Input!F195&amp;Input!$C195&amp;Input!$D195&amp;IF(ISBLANK(Input!$B196),"}"&amp;IF(ISBLANK(H$1),"",","),""))</f>
        <v/>
      </c>
    </row>
    <row r="196" spans="6:7" x14ac:dyDescent="0.3">
      <c r="F196" t="str">
        <f>IF(ISBLANK(Input!$B196),"",Input!$A196&amp;""""&amp;Input!$B196&amp;""":"&amp;Input!$C196&amp;Input!E196&amp;Input!$C196&amp;Input!$D196&amp;IF(ISBLANK(Input!$B197),"}"&amp;IF(ISBLANK(G$1),"",","),""))</f>
        <v/>
      </c>
      <c r="G196" t="str">
        <f>IF(ISBLANK(Input!$B196),"",Input!$A196&amp;""""&amp;Input!$B196&amp;""":"&amp;Input!$C196&amp;Input!F196&amp;Input!$C196&amp;Input!$D196&amp;IF(ISBLANK(Input!$B197),"}"&amp;IF(ISBLANK(H$1),"",","),""))</f>
        <v/>
      </c>
    </row>
    <row r="197" spans="6:7" x14ac:dyDescent="0.3">
      <c r="F197" t="str">
        <f>IF(ISBLANK(Input!$B197),"",Input!$A197&amp;""""&amp;Input!$B197&amp;""":"&amp;Input!$C197&amp;Input!E197&amp;Input!$C197&amp;Input!$D197&amp;IF(ISBLANK(Input!$B198),"}"&amp;IF(ISBLANK(G$1),"",","),""))</f>
        <v/>
      </c>
      <c r="G197" t="str">
        <f>IF(ISBLANK(Input!$B197),"",Input!$A197&amp;""""&amp;Input!$B197&amp;""":"&amp;Input!$C197&amp;Input!F197&amp;Input!$C197&amp;Input!$D197&amp;IF(ISBLANK(Input!$B198),"}"&amp;IF(ISBLANK(H$1),"",","),""))</f>
        <v/>
      </c>
    </row>
    <row r="198" spans="6:7" x14ac:dyDescent="0.3">
      <c r="F198" t="str">
        <f>IF(ISBLANK(Input!$B198),"",Input!$A198&amp;""""&amp;Input!$B198&amp;""":"&amp;Input!$C198&amp;Input!E198&amp;Input!$C198&amp;Input!$D198&amp;IF(ISBLANK(Input!$B199),"}"&amp;IF(ISBLANK(G$1),"",","),""))</f>
        <v/>
      </c>
      <c r="G198" t="str">
        <f>IF(ISBLANK(Input!$B198),"",Input!$A198&amp;""""&amp;Input!$B198&amp;""":"&amp;Input!$C198&amp;Input!F198&amp;Input!$C198&amp;Input!$D198&amp;IF(ISBLANK(Input!$B199),"}"&amp;IF(ISBLANK(H$1),"",","),""))</f>
        <v/>
      </c>
    </row>
    <row r="199" spans="6:7" x14ac:dyDescent="0.3">
      <c r="F199" t="str">
        <f>IF(ISBLANK(Input!$B199),"",Input!$A199&amp;""""&amp;Input!$B199&amp;""":"&amp;Input!$C199&amp;Input!E199&amp;Input!$C199&amp;Input!$D199&amp;IF(ISBLANK(Input!$B200),"}"&amp;IF(ISBLANK(G$1),"",","),""))</f>
        <v/>
      </c>
      <c r="G199" t="str">
        <f>IF(ISBLANK(Input!$B199),"",Input!$A199&amp;""""&amp;Input!$B199&amp;""":"&amp;Input!$C199&amp;Input!F199&amp;Input!$C199&amp;Input!$D199&amp;IF(ISBLANK(Input!$B200),"}"&amp;IF(ISBLANK(H$1),"",","),""))</f>
        <v/>
      </c>
    </row>
    <row r="200" spans="6:7" x14ac:dyDescent="0.3">
      <c r="F200" t="str">
        <f>IF(ISBLANK(Input!$B200),"",Input!$A200&amp;""""&amp;Input!$B200&amp;""":"&amp;Input!$C200&amp;Input!E200&amp;Input!$C200&amp;Input!$D200&amp;IF(ISBLANK(Input!$B201),"}"&amp;IF(ISBLANK(G$1),"",","),""))</f>
        <v/>
      </c>
      <c r="G200" t="str">
        <f>IF(ISBLANK(Input!$B200),"",Input!$A200&amp;""""&amp;Input!$B200&amp;""":"&amp;Input!$C200&amp;Input!F200&amp;Input!$C200&amp;Input!$D200&amp;IF(ISBLANK(Input!$B201),"}"&amp;IF(ISBLANK(H$1),"",","),""))</f>
        <v/>
      </c>
    </row>
    <row r="201" spans="6:7" x14ac:dyDescent="0.3">
      <c r="F201" t="str">
        <f>IF(ISBLANK(Input!$B201),"",Input!$A201&amp;""""&amp;Input!$B201&amp;""":"&amp;Input!$C201&amp;Input!E201&amp;Input!$C201&amp;Input!$D201&amp;IF(ISBLANK(Input!$B202),"}"&amp;IF(ISBLANK(G$1),"",","),""))</f>
        <v/>
      </c>
      <c r="G201" t="str">
        <f>IF(ISBLANK(Input!$B201),"",Input!$A201&amp;""""&amp;Input!$B201&amp;""":"&amp;Input!$C201&amp;Input!F201&amp;Input!$C201&amp;Input!$D201&amp;IF(ISBLANK(Input!$B202),"}"&amp;IF(ISBLANK(H$1),"",","),""))</f>
        <v/>
      </c>
    </row>
    <row r="202" spans="6:7" x14ac:dyDescent="0.3">
      <c r="F202" t="str">
        <f>IF(ISBLANK(Input!$B202),"",Input!$A202&amp;""""&amp;Input!$B202&amp;""":"&amp;Input!$C202&amp;Input!E202&amp;Input!$C202&amp;Input!$D202&amp;IF(ISBLANK(Input!$B203),"}"&amp;IF(ISBLANK(G$1),"",","),""))</f>
        <v/>
      </c>
      <c r="G202" t="str">
        <f>IF(ISBLANK(Input!$B202),"",Input!$A202&amp;""""&amp;Input!$B202&amp;""":"&amp;Input!$C202&amp;Input!F202&amp;Input!$C202&amp;Input!$D202&amp;IF(ISBLANK(Input!$B203),"}"&amp;IF(ISBLANK(H$1),"",","),""))</f>
        <v/>
      </c>
    </row>
    <row r="203" spans="6:7" x14ac:dyDescent="0.3">
      <c r="F203" t="str">
        <f>IF(ISBLANK(Input!$B203),"",Input!$A203&amp;""""&amp;Input!$B203&amp;""":"&amp;Input!$C203&amp;Input!E203&amp;Input!$C203&amp;Input!$D203&amp;IF(ISBLANK(Input!$B204),"}"&amp;IF(ISBLANK(G$1),"",","),""))</f>
        <v/>
      </c>
      <c r="G203" t="str">
        <f>IF(ISBLANK(Input!$B203),"",Input!$A203&amp;""""&amp;Input!$B203&amp;""":"&amp;Input!$C203&amp;Input!F203&amp;Input!$C203&amp;Input!$D203&amp;IF(ISBLANK(Input!$B204),"}"&amp;IF(ISBLANK(H$1),"",","),""))</f>
        <v/>
      </c>
    </row>
    <row r="204" spans="6:7" x14ac:dyDescent="0.3">
      <c r="F204" t="str">
        <f>IF(ISBLANK(Input!$B204),"",Input!$A204&amp;""""&amp;Input!$B204&amp;""":"&amp;Input!$C204&amp;Input!E204&amp;Input!$C204&amp;Input!$D204&amp;IF(ISBLANK(Input!$B205),"}"&amp;IF(ISBLANK(G$1),"",","),""))</f>
        <v/>
      </c>
      <c r="G204" t="str">
        <f>IF(ISBLANK(Input!$B204),"",Input!$A204&amp;""""&amp;Input!$B204&amp;""":"&amp;Input!$C204&amp;Input!F204&amp;Input!$C204&amp;Input!$D204&amp;IF(ISBLANK(Input!$B205),"}"&amp;IF(ISBLANK(H$1),"",","),""))</f>
        <v/>
      </c>
    </row>
    <row r="205" spans="6:7" x14ac:dyDescent="0.3">
      <c r="F205" t="str">
        <f>IF(ISBLANK(Input!$B205),"",Input!$A205&amp;""""&amp;Input!$B205&amp;""":"&amp;Input!$C205&amp;Input!E205&amp;Input!$C205&amp;Input!$D205&amp;IF(ISBLANK(Input!$B206),"}"&amp;IF(ISBLANK(G$1),"",","),""))</f>
        <v/>
      </c>
      <c r="G205" t="str">
        <f>IF(ISBLANK(Input!$B205),"",Input!$A205&amp;""""&amp;Input!$B205&amp;""":"&amp;Input!$C205&amp;Input!F205&amp;Input!$C205&amp;Input!$D205&amp;IF(ISBLANK(Input!$B206),"}"&amp;IF(ISBLANK(H$1),"",","),""))</f>
        <v/>
      </c>
    </row>
    <row r="206" spans="6:7" x14ac:dyDescent="0.3">
      <c r="F206" t="str">
        <f>IF(ISBLANK(Input!$B206),"",Input!$A206&amp;""""&amp;Input!$B206&amp;""":"&amp;Input!$C206&amp;Input!E206&amp;Input!$C206&amp;Input!$D206&amp;IF(ISBLANK(Input!$B207),"}"&amp;IF(ISBLANK(G$1),"",","),""))</f>
        <v/>
      </c>
      <c r="G206" t="str">
        <f>IF(ISBLANK(Input!$B206),"",Input!$A206&amp;""""&amp;Input!$B206&amp;""":"&amp;Input!$C206&amp;Input!F206&amp;Input!$C206&amp;Input!$D206&amp;IF(ISBLANK(Input!$B207),"}"&amp;IF(ISBLANK(H$1),"",","),""))</f>
        <v/>
      </c>
    </row>
    <row r="207" spans="6:7" x14ac:dyDescent="0.3">
      <c r="F207" t="str">
        <f>IF(ISBLANK(Input!$B207),"",Input!$A207&amp;""""&amp;Input!$B207&amp;""":"&amp;Input!$C207&amp;Input!E207&amp;Input!$C207&amp;Input!$D207&amp;IF(ISBLANK(Input!$B208),"}"&amp;IF(ISBLANK(G$1),"",","),""))</f>
        <v/>
      </c>
      <c r="G207" t="str">
        <f>IF(ISBLANK(Input!$B207),"",Input!$A207&amp;""""&amp;Input!$B207&amp;""":"&amp;Input!$C207&amp;Input!F207&amp;Input!$C207&amp;Input!$D207&amp;IF(ISBLANK(Input!$B208),"}"&amp;IF(ISBLANK(H$1),"",","),""))</f>
        <v/>
      </c>
    </row>
    <row r="208" spans="6:7" x14ac:dyDescent="0.3">
      <c r="F208" t="str">
        <f>IF(ISBLANK(Input!$B208),"",Input!$A208&amp;""""&amp;Input!$B208&amp;""":"&amp;Input!$C208&amp;Input!E208&amp;Input!$C208&amp;Input!$D208&amp;IF(ISBLANK(Input!$B209),"}"&amp;IF(ISBLANK(G$1),"",","),""))</f>
        <v/>
      </c>
      <c r="G208" t="str">
        <f>IF(ISBLANK(Input!$B208),"",Input!$A208&amp;""""&amp;Input!$B208&amp;""":"&amp;Input!$C208&amp;Input!F208&amp;Input!$C208&amp;Input!$D208&amp;IF(ISBLANK(Input!$B209),"}"&amp;IF(ISBLANK(H$1),"",","),""))</f>
        <v/>
      </c>
    </row>
    <row r="209" spans="6:7" x14ac:dyDescent="0.3">
      <c r="F209" t="str">
        <f>IF(ISBLANK(Input!$B209),"",Input!$A209&amp;""""&amp;Input!$B209&amp;""":"&amp;Input!$C209&amp;Input!E209&amp;Input!$C209&amp;Input!$D209&amp;IF(ISBLANK(Input!$B210),"}"&amp;IF(ISBLANK(G$1),"",","),""))</f>
        <v/>
      </c>
      <c r="G209" t="str">
        <f>IF(ISBLANK(Input!$B209),"",Input!$A209&amp;""""&amp;Input!$B209&amp;""":"&amp;Input!$C209&amp;Input!F209&amp;Input!$C209&amp;Input!$D209&amp;IF(ISBLANK(Input!$B210),"}"&amp;IF(ISBLANK(H$1),"",","),""))</f>
        <v/>
      </c>
    </row>
    <row r="210" spans="6:7" x14ac:dyDescent="0.3">
      <c r="F210" t="str">
        <f>IF(ISBLANK(Input!$B210),"",Input!$A210&amp;""""&amp;Input!$B210&amp;""":"&amp;Input!$C210&amp;Input!E210&amp;Input!$C210&amp;Input!$D210&amp;IF(ISBLANK(Input!$B211),"}"&amp;IF(ISBLANK(G$1),"",","),""))</f>
        <v/>
      </c>
      <c r="G210" t="str">
        <f>IF(ISBLANK(Input!$B210),"",Input!$A210&amp;""""&amp;Input!$B210&amp;""":"&amp;Input!$C210&amp;Input!F210&amp;Input!$C210&amp;Input!$D210&amp;IF(ISBLANK(Input!$B211),"}"&amp;IF(ISBLANK(H$1),"",","),""))</f>
        <v/>
      </c>
    </row>
    <row r="211" spans="6:7" x14ac:dyDescent="0.3">
      <c r="F211" t="str">
        <f>IF(ISBLANK(Input!$B211),"",Input!$A211&amp;""""&amp;Input!$B211&amp;""":"&amp;Input!$C211&amp;Input!E211&amp;Input!$C211&amp;Input!$D211&amp;IF(ISBLANK(Input!$B212),"}"&amp;IF(ISBLANK(G$1),"",","),""))</f>
        <v/>
      </c>
      <c r="G211" t="str">
        <f>IF(ISBLANK(Input!$B211),"",Input!$A211&amp;""""&amp;Input!$B211&amp;""":"&amp;Input!$C211&amp;Input!F211&amp;Input!$C211&amp;Input!$D211&amp;IF(ISBLANK(Input!$B212),"}"&amp;IF(ISBLANK(H$1),"",","),""))</f>
        <v/>
      </c>
    </row>
    <row r="212" spans="6:7" x14ac:dyDescent="0.3">
      <c r="F212" t="str">
        <f>IF(ISBLANK(Input!$B212),"",Input!$A212&amp;""""&amp;Input!$B212&amp;""":"&amp;Input!$C212&amp;Input!E212&amp;Input!$C212&amp;Input!$D212&amp;IF(ISBLANK(Input!$B213),"}"&amp;IF(ISBLANK(G$1),"",","),""))</f>
        <v/>
      </c>
      <c r="G212" t="str">
        <f>IF(ISBLANK(Input!$B212),"",Input!$A212&amp;""""&amp;Input!$B212&amp;""":"&amp;Input!$C212&amp;Input!F212&amp;Input!$C212&amp;Input!$D212&amp;IF(ISBLANK(Input!$B213),"}"&amp;IF(ISBLANK(H$1),"",","),""))</f>
        <v/>
      </c>
    </row>
    <row r="213" spans="6:7" x14ac:dyDescent="0.3">
      <c r="F213" t="str">
        <f>IF(ISBLANK(Input!$B213),"",Input!$A213&amp;""""&amp;Input!$B213&amp;""":"&amp;Input!$C213&amp;Input!E213&amp;Input!$C213&amp;Input!$D213&amp;IF(ISBLANK(Input!$B214),"}"&amp;IF(ISBLANK(G$1),"",","),""))</f>
        <v/>
      </c>
      <c r="G213" t="str">
        <f>IF(ISBLANK(Input!$B213),"",Input!$A213&amp;""""&amp;Input!$B213&amp;""":"&amp;Input!$C213&amp;Input!F213&amp;Input!$C213&amp;Input!$D213&amp;IF(ISBLANK(Input!$B214),"}"&amp;IF(ISBLANK(H$1),"",","),""))</f>
        <v/>
      </c>
    </row>
    <row r="214" spans="6:7" x14ac:dyDescent="0.3">
      <c r="F214" t="str">
        <f>IF(ISBLANK(Input!$B214),"",Input!$A214&amp;""""&amp;Input!$B214&amp;""":"&amp;Input!$C214&amp;Input!E214&amp;Input!$C214&amp;Input!$D214&amp;IF(ISBLANK(Input!$B215),"}"&amp;IF(ISBLANK(G$1),"",","),""))</f>
        <v/>
      </c>
      <c r="G214" t="str">
        <f>IF(ISBLANK(Input!$B214),"",Input!$A214&amp;""""&amp;Input!$B214&amp;""":"&amp;Input!$C214&amp;Input!F214&amp;Input!$C214&amp;Input!$D214&amp;IF(ISBLANK(Input!$B215),"}"&amp;IF(ISBLANK(H$1),"",","),""))</f>
        <v/>
      </c>
    </row>
    <row r="215" spans="6:7" x14ac:dyDescent="0.3">
      <c r="F215" t="str">
        <f>IF(ISBLANK(Input!$B215),"",Input!$A215&amp;""""&amp;Input!$B215&amp;""":"&amp;Input!$C215&amp;Input!E215&amp;Input!$C215&amp;Input!$D215&amp;IF(ISBLANK(Input!$B216),"}"&amp;IF(ISBLANK(G$1),"",","),""))</f>
        <v/>
      </c>
      <c r="G215" t="str">
        <f>IF(ISBLANK(Input!$B215),"",Input!$A215&amp;""""&amp;Input!$B215&amp;""":"&amp;Input!$C215&amp;Input!F215&amp;Input!$C215&amp;Input!$D215&amp;IF(ISBLANK(Input!$B216),"}"&amp;IF(ISBLANK(H$1),"",","),""))</f>
        <v/>
      </c>
    </row>
    <row r="216" spans="6:7" x14ac:dyDescent="0.3">
      <c r="F216" t="str">
        <f>IF(ISBLANK(Input!$B216),"",Input!$A216&amp;""""&amp;Input!$B216&amp;""":"&amp;Input!$C216&amp;Input!E216&amp;Input!$C216&amp;Input!$D216&amp;IF(ISBLANK(Input!$B217),"}"&amp;IF(ISBLANK(G$1),"",","),""))</f>
        <v/>
      </c>
      <c r="G216" t="str">
        <f>IF(ISBLANK(Input!$B216),"",Input!$A216&amp;""""&amp;Input!$B216&amp;""":"&amp;Input!$C216&amp;Input!F216&amp;Input!$C216&amp;Input!$D216&amp;IF(ISBLANK(Input!$B217),"}"&amp;IF(ISBLANK(H$1),"",","),""))</f>
        <v/>
      </c>
    </row>
    <row r="217" spans="6:7" x14ac:dyDescent="0.3">
      <c r="F217" t="str">
        <f>IF(ISBLANK(Input!$B217),"",Input!$A217&amp;""""&amp;Input!$B217&amp;""":"&amp;Input!$C217&amp;Input!E217&amp;Input!$C217&amp;Input!$D217&amp;IF(ISBLANK(Input!$B218),"}"&amp;IF(ISBLANK(G$1),"",","),""))</f>
        <v/>
      </c>
      <c r="G217" t="str">
        <f>IF(ISBLANK(Input!$B217),"",Input!$A217&amp;""""&amp;Input!$B217&amp;""":"&amp;Input!$C217&amp;Input!F217&amp;Input!$C217&amp;Input!$D217&amp;IF(ISBLANK(Input!$B218),"}"&amp;IF(ISBLANK(H$1),"",","),""))</f>
        <v/>
      </c>
    </row>
    <row r="218" spans="6:7" x14ac:dyDescent="0.3">
      <c r="F218" t="str">
        <f>IF(ISBLANK(Input!$B218),"",Input!$A218&amp;""""&amp;Input!$B218&amp;""":"&amp;Input!$C218&amp;Input!E218&amp;Input!$C218&amp;Input!$D218&amp;IF(ISBLANK(Input!$B219),"}"&amp;IF(ISBLANK(G$1),"",","),""))</f>
        <v/>
      </c>
      <c r="G218" t="str">
        <f>IF(ISBLANK(Input!$B218),"",Input!$A218&amp;""""&amp;Input!$B218&amp;""":"&amp;Input!$C218&amp;Input!F218&amp;Input!$C218&amp;Input!$D218&amp;IF(ISBLANK(Input!$B219),"}"&amp;IF(ISBLANK(H$1),"",","),""))</f>
        <v/>
      </c>
    </row>
    <row r="219" spans="6:7" x14ac:dyDescent="0.3">
      <c r="F219" t="str">
        <f>IF(ISBLANK(Input!$B219),"",Input!$A219&amp;""""&amp;Input!$B219&amp;""":"&amp;Input!$C219&amp;Input!E219&amp;Input!$C219&amp;Input!$D219&amp;IF(ISBLANK(Input!$B220),"}"&amp;IF(ISBLANK(G$1),"",","),""))</f>
        <v/>
      </c>
      <c r="G219" t="str">
        <f>IF(ISBLANK(Input!$B219),"",Input!$A219&amp;""""&amp;Input!$B219&amp;""":"&amp;Input!$C219&amp;Input!F219&amp;Input!$C219&amp;Input!$D219&amp;IF(ISBLANK(Input!$B220),"}"&amp;IF(ISBLANK(H$1),"",","),""))</f>
        <v/>
      </c>
    </row>
    <row r="220" spans="6:7" x14ac:dyDescent="0.3">
      <c r="F220" t="str">
        <f>IF(ISBLANK(Input!$B220),"",Input!$A220&amp;""""&amp;Input!$B220&amp;""":"&amp;Input!$C220&amp;Input!E220&amp;Input!$C220&amp;Input!$D220&amp;IF(ISBLANK(Input!$B221),"}"&amp;IF(ISBLANK(G$1),"",","),""))</f>
        <v/>
      </c>
      <c r="G220" t="str">
        <f>IF(ISBLANK(Input!$B220),"",Input!$A220&amp;""""&amp;Input!$B220&amp;""":"&amp;Input!$C220&amp;Input!F220&amp;Input!$C220&amp;Input!$D220&amp;IF(ISBLANK(Input!$B221),"}"&amp;IF(ISBLANK(H$1),"",","),""))</f>
        <v/>
      </c>
    </row>
    <row r="221" spans="6:7" x14ac:dyDescent="0.3">
      <c r="F221" t="str">
        <f>IF(ISBLANK(Input!$B221),"",Input!$A221&amp;""""&amp;Input!$B221&amp;""":"&amp;Input!$C221&amp;Input!E221&amp;Input!$C221&amp;Input!$D221&amp;IF(ISBLANK(Input!$B222),"}"&amp;IF(ISBLANK(G$1),"",","),""))</f>
        <v/>
      </c>
      <c r="G221" t="str">
        <f>IF(ISBLANK(Input!$B221),"",Input!$A221&amp;""""&amp;Input!$B221&amp;""":"&amp;Input!$C221&amp;Input!F221&amp;Input!$C221&amp;Input!$D221&amp;IF(ISBLANK(Input!$B222),"}"&amp;IF(ISBLANK(H$1),"",","),""))</f>
        <v/>
      </c>
    </row>
    <row r="222" spans="6:7" x14ac:dyDescent="0.3">
      <c r="F222" t="str">
        <f>IF(ISBLANK(Input!$B222),"",Input!$A222&amp;""""&amp;Input!$B222&amp;""":"&amp;Input!$C222&amp;Input!E222&amp;Input!$C222&amp;Input!$D222&amp;IF(ISBLANK(Input!$B223),"}"&amp;IF(ISBLANK(G$1),"",","),""))</f>
        <v/>
      </c>
      <c r="G222" t="str">
        <f>IF(ISBLANK(Input!$B222),"",Input!$A222&amp;""""&amp;Input!$B222&amp;""":"&amp;Input!$C222&amp;Input!F222&amp;Input!$C222&amp;Input!$D222&amp;IF(ISBLANK(Input!$B223),"}"&amp;IF(ISBLANK(H$1),"",","),""))</f>
        <v/>
      </c>
    </row>
    <row r="223" spans="6:7" x14ac:dyDescent="0.3">
      <c r="F223" t="str">
        <f>IF(ISBLANK(Input!$B223),"",Input!$A223&amp;""""&amp;Input!$B223&amp;""":"&amp;Input!$C223&amp;Input!E223&amp;Input!$C223&amp;Input!$D223&amp;IF(ISBLANK(Input!$B224),"}"&amp;IF(ISBLANK(G$1),"",","),""))</f>
        <v/>
      </c>
      <c r="G223" t="str">
        <f>IF(ISBLANK(Input!$B223),"",Input!$A223&amp;""""&amp;Input!$B223&amp;""":"&amp;Input!$C223&amp;Input!F223&amp;Input!$C223&amp;Input!$D223&amp;IF(ISBLANK(Input!$B224),"}"&amp;IF(ISBLANK(H$1),"",","),""))</f>
        <v/>
      </c>
    </row>
    <row r="224" spans="6:7" x14ac:dyDescent="0.3">
      <c r="F224" t="str">
        <f>IF(ISBLANK(Input!$B224),"",Input!$A224&amp;""""&amp;Input!$B224&amp;""":"&amp;Input!$C224&amp;Input!E224&amp;Input!$C224&amp;Input!$D224&amp;IF(ISBLANK(Input!$B225),"}"&amp;IF(ISBLANK(G$1),"",","),""))</f>
        <v/>
      </c>
      <c r="G224" t="str">
        <f>IF(ISBLANK(Input!$B224),"",Input!$A224&amp;""""&amp;Input!$B224&amp;""":"&amp;Input!$C224&amp;Input!F224&amp;Input!$C224&amp;Input!$D224&amp;IF(ISBLANK(Input!$B225),"}"&amp;IF(ISBLANK(H$1),"",","),""))</f>
        <v/>
      </c>
    </row>
    <row r="225" spans="6:7" x14ac:dyDescent="0.3">
      <c r="F225" t="str">
        <f>IF(ISBLANK(Input!$B225),"",Input!$A225&amp;""""&amp;Input!$B225&amp;""":"&amp;Input!$C225&amp;Input!E225&amp;Input!$C225&amp;Input!$D225&amp;IF(ISBLANK(Input!$B226),"}"&amp;IF(ISBLANK(G$1),"",","),""))</f>
        <v/>
      </c>
      <c r="G225" t="str">
        <f>IF(ISBLANK(Input!$B225),"",Input!$A225&amp;""""&amp;Input!$B225&amp;""":"&amp;Input!$C225&amp;Input!F225&amp;Input!$C225&amp;Input!$D225&amp;IF(ISBLANK(Input!$B226),"}"&amp;IF(ISBLANK(H$1),"",","),""))</f>
        <v/>
      </c>
    </row>
    <row r="226" spans="6:7" x14ac:dyDescent="0.3">
      <c r="F226" t="str">
        <f>IF(ISBLANK(Input!$B226),"",Input!$A226&amp;""""&amp;Input!$B226&amp;""":"&amp;Input!$C226&amp;Input!E226&amp;Input!$C226&amp;Input!$D226&amp;IF(ISBLANK(Input!$B227),"}"&amp;IF(ISBLANK(G$1),"",","),""))</f>
        <v/>
      </c>
      <c r="G226" t="str">
        <f>IF(ISBLANK(Input!$B226),"",Input!$A226&amp;""""&amp;Input!$B226&amp;""":"&amp;Input!$C226&amp;Input!F226&amp;Input!$C226&amp;Input!$D226&amp;IF(ISBLANK(Input!$B227),"}"&amp;IF(ISBLANK(H$1),"",","),""))</f>
        <v/>
      </c>
    </row>
    <row r="227" spans="6:7" x14ac:dyDescent="0.3">
      <c r="F227" t="str">
        <f>IF(ISBLANK(Input!$B227),"",Input!$A227&amp;""""&amp;Input!$B227&amp;""":"&amp;Input!$C227&amp;Input!E227&amp;Input!$C227&amp;Input!$D227&amp;IF(ISBLANK(Input!$B228),"}"&amp;IF(ISBLANK(G$1),"",","),""))</f>
        <v/>
      </c>
      <c r="G227" t="str">
        <f>IF(ISBLANK(Input!$B227),"",Input!$A227&amp;""""&amp;Input!$B227&amp;""":"&amp;Input!$C227&amp;Input!F227&amp;Input!$C227&amp;Input!$D227&amp;IF(ISBLANK(Input!$B228),"}"&amp;IF(ISBLANK(H$1),"",","),""))</f>
        <v/>
      </c>
    </row>
    <row r="228" spans="6:7" x14ac:dyDescent="0.3">
      <c r="F228" t="str">
        <f>IF(ISBLANK(Input!$B228),"",Input!$A228&amp;""""&amp;Input!$B228&amp;""":"&amp;Input!$C228&amp;Input!E228&amp;Input!$C228&amp;Input!$D228&amp;IF(ISBLANK(Input!$B229),"}"&amp;IF(ISBLANK(G$1),"",","),""))</f>
        <v/>
      </c>
      <c r="G228" t="str">
        <f>IF(ISBLANK(Input!$B228),"",Input!$A228&amp;""""&amp;Input!$B228&amp;""":"&amp;Input!$C228&amp;Input!F228&amp;Input!$C228&amp;Input!$D228&amp;IF(ISBLANK(Input!$B229),"}"&amp;IF(ISBLANK(H$1),"",","),""))</f>
        <v/>
      </c>
    </row>
    <row r="229" spans="6:7" x14ac:dyDescent="0.3">
      <c r="F229" t="str">
        <f>IF(ISBLANK(Input!$B229),"",Input!$A229&amp;""""&amp;Input!$B229&amp;""":"&amp;Input!$C229&amp;Input!E229&amp;Input!$C229&amp;Input!$D229&amp;IF(ISBLANK(Input!$B230),"}"&amp;IF(ISBLANK(G$1),"",","),""))</f>
        <v/>
      </c>
      <c r="G229" t="str">
        <f>IF(ISBLANK(Input!$B229),"",Input!$A229&amp;""""&amp;Input!$B229&amp;""":"&amp;Input!$C229&amp;Input!F229&amp;Input!$C229&amp;Input!$D229&amp;IF(ISBLANK(Input!$B230),"}"&amp;IF(ISBLANK(H$1),"",","),""))</f>
        <v/>
      </c>
    </row>
    <row r="230" spans="6:7" x14ac:dyDescent="0.3">
      <c r="F230" t="str">
        <f>IF(ISBLANK(Input!$B230),"",Input!$A230&amp;""""&amp;Input!$B230&amp;""":"&amp;Input!$C230&amp;Input!E230&amp;Input!$C230&amp;Input!$D230&amp;IF(ISBLANK(Input!$B231),"}"&amp;IF(ISBLANK(G$1),"",","),""))</f>
        <v/>
      </c>
      <c r="G230" t="str">
        <f>IF(ISBLANK(Input!$B230),"",Input!$A230&amp;""""&amp;Input!$B230&amp;""":"&amp;Input!$C230&amp;Input!F230&amp;Input!$C230&amp;Input!$D230&amp;IF(ISBLANK(Input!$B231),"}"&amp;IF(ISBLANK(H$1),"",","),""))</f>
        <v/>
      </c>
    </row>
    <row r="231" spans="6:7" x14ac:dyDescent="0.3">
      <c r="F231" t="str">
        <f>IF(ISBLANK(Input!$B231),"",Input!$A231&amp;""""&amp;Input!$B231&amp;""":"&amp;Input!$C231&amp;Input!E231&amp;Input!$C231&amp;Input!$D231&amp;IF(ISBLANK(Input!$B232),"}"&amp;IF(ISBLANK(G$1),"",","),""))</f>
        <v/>
      </c>
      <c r="G231" t="str">
        <f>IF(ISBLANK(Input!$B231),"",Input!$A231&amp;""""&amp;Input!$B231&amp;""":"&amp;Input!$C231&amp;Input!F231&amp;Input!$C231&amp;Input!$D231&amp;IF(ISBLANK(Input!$B232),"}"&amp;IF(ISBLANK(H$1),"",","),""))</f>
        <v/>
      </c>
    </row>
    <row r="232" spans="6:7" x14ac:dyDescent="0.3">
      <c r="F232" t="str">
        <f>IF(ISBLANK(Input!$B232),"",Input!$A232&amp;""""&amp;Input!$B232&amp;""":"&amp;Input!$C232&amp;Input!E232&amp;Input!$C232&amp;Input!$D232&amp;IF(ISBLANK(Input!$B233),"}"&amp;IF(ISBLANK(G$1),"",","),""))</f>
        <v/>
      </c>
      <c r="G232" t="str">
        <f>IF(ISBLANK(Input!$B232),"",Input!$A232&amp;""""&amp;Input!$B232&amp;""":"&amp;Input!$C232&amp;Input!F232&amp;Input!$C232&amp;Input!$D232&amp;IF(ISBLANK(Input!$B233),"}"&amp;IF(ISBLANK(H$1),"",","),""))</f>
        <v/>
      </c>
    </row>
    <row r="233" spans="6:7" x14ac:dyDescent="0.3">
      <c r="F233" t="str">
        <f>IF(ISBLANK(Input!$B233),"",Input!$A233&amp;""""&amp;Input!$B233&amp;""":"&amp;Input!$C233&amp;Input!E233&amp;Input!$C233&amp;Input!$D233&amp;IF(ISBLANK(Input!$B234),"}"&amp;IF(ISBLANK(G$1),"",","),""))</f>
        <v/>
      </c>
      <c r="G233" t="str">
        <f>IF(ISBLANK(Input!$B233),"",Input!$A233&amp;""""&amp;Input!$B233&amp;""":"&amp;Input!$C233&amp;Input!F233&amp;Input!$C233&amp;Input!$D233&amp;IF(ISBLANK(Input!$B234),"}"&amp;IF(ISBLANK(H$1),"",","),""))</f>
        <v/>
      </c>
    </row>
    <row r="234" spans="6:7" x14ac:dyDescent="0.3">
      <c r="F234" t="str">
        <f>IF(ISBLANK(Input!$B234),"",Input!$A234&amp;""""&amp;Input!$B234&amp;""":"&amp;Input!$C234&amp;Input!E234&amp;Input!$C234&amp;Input!$D234&amp;IF(ISBLANK(Input!$B235),"}"&amp;IF(ISBLANK(G$1),"",","),""))</f>
        <v/>
      </c>
      <c r="G234" t="str">
        <f>IF(ISBLANK(Input!$B234),"",Input!$A234&amp;""""&amp;Input!$B234&amp;""":"&amp;Input!$C234&amp;Input!F234&amp;Input!$C234&amp;Input!$D234&amp;IF(ISBLANK(Input!$B235),"}"&amp;IF(ISBLANK(H$1),"",","),""))</f>
        <v/>
      </c>
    </row>
    <row r="235" spans="6:7" x14ac:dyDescent="0.3">
      <c r="F235" t="str">
        <f>IF(ISBLANK(Input!$B235),"",Input!$A235&amp;""""&amp;Input!$B235&amp;""":"&amp;Input!$C235&amp;Input!E235&amp;Input!$C235&amp;Input!$D235&amp;IF(ISBLANK(Input!$B236),"}"&amp;IF(ISBLANK(G$1),"",","),""))</f>
        <v/>
      </c>
      <c r="G235" t="str">
        <f>IF(ISBLANK(Input!$B235),"",Input!$A235&amp;""""&amp;Input!$B235&amp;""":"&amp;Input!$C235&amp;Input!F235&amp;Input!$C235&amp;Input!$D235&amp;IF(ISBLANK(Input!$B236),"}"&amp;IF(ISBLANK(H$1),"",","),""))</f>
        <v/>
      </c>
    </row>
    <row r="236" spans="6:7" x14ac:dyDescent="0.3">
      <c r="F236" t="str">
        <f>IF(ISBLANK(Input!$B236),"",Input!$A236&amp;""""&amp;Input!$B236&amp;""":"&amp;Input!$C236&amp;Input!E236&amp;Input!$C236&amp;Input!$D236&amp;IF(ISBLANK(Input!$B237),"}"&amp;IF(ISBLANK(G$1),"",","),""))</f>
        <v/>
      </c>
      <c r="G236" t="str">
        <f>IF(ISBLANK(Input!$B236),"",Input!$A236&amp;""""&amp;Input!$B236&amp;""":"&amp;Input!$C236&amp;Input!F236&amp;Input!$C236&amp;Input!$D236&amp;IF(ISBLANK(Input!$B237),"}"&amp;IF(ISBLANK(H$1),"",","),""))</f>
        <v/>
      </c>
    </row>
    <row r="237" spans="6:7" x14ac:dyDescent="0.3">
      <c r="F237" t="str">
        <f>IF(ISBLANK(Input!$B237),"",Input!$A237&amp;""""&amp;Input!$B237&amp;""":"&amp;Input!$C237&amp;Input!E237&amp;Input!$C237&amp;Input!$D237&amp;IF(ISBLANK(Input!$B238),"}"&amp;IF(ISBLANK(G$1),"",","),""))</f>
        <v/>
      </c>
      <c r="G237" t="str">
        <f>IF(ISBLANK(Input!$B237),"",Input!$A237&amp;""""&amp;Input!$B237&amp;""":"&amp;Input!$C237&amp;Input!F237&amp;Input!$C237&amp;Input!$D237&amp;IF(ISBLANK(Input!$B238),"}"&amp;IF(ISBLANK(H$1),"",","),""))</f>
        <v/>
      </c>
    </row>
    <row r="238" spans="6:7" x14ac:dyDescent="0.3">
      <c r="F238" t="str">
        <f>IF(ISBLANK(Input!$B238),"",Input!$A238&amp;""""&amp;Input!$B238&amp;""":"&amp;Input!$C238&amp;Input!E238&amp;Input!$C238&amp;Input!$D238&amp;IF(ISBLANK(Input!$B239),"}"&amp;IF(ISBLANK(G$1),"",","),""))</f>
        <v/>
      </c>
      <c r="G238" t="str">
        <f>IF(ISBLANK(Input!$B238),"",Input!$A238&amp;""""&amp;Input!$B238&amp;""":"&amp;Input!$C238&amp;Input!F238&amp;Input!$C238&amp;Input!$D238&amp;IF(ISBLANK(Input!$B239),"}"&amp;IF(ISBLANK(H$1),"",","),""))</f>
        <v/>
      </c>
    </row>
    <row r="239" spans="6:7" x14ac:dyDescent="0.3">
      <c r="F239" t="str">
        <f>IF(ISBLANK(Input!$B239),"",Input!$A239&amp;""""&amp;Input!$B239&amp;""":"&amp;Input!$C239&amp;Input!E239&amp;Input!$C239&amp;Input!$D239&amp;IF(ISBLANK(Input!$B240),"}"&amp;IF(ISBLANK(G$1),"",","),""))</f>
        <v/>
      </c>
      <c r="G239" t="str">
        <f>IF(ISBLANK(Input!$B239),"",Input!$A239&amp;""""&amp;Input!$B239&amp;""":"&amp;Input!$C239&amp;Input!F239&amp;Input!$C239&amp;Input!$D239&amp;IF(ISBLANK(Input!$B240),"}"&amp;IF(ISBLANK(H$1),"",","),""))</f>
        <v/>
      </c>
    </row>
    <row r="240" spans="6:7" x14ac:dyDescent="0.3">
      <c r="F240" t="str">
        <f>IF(ISBLANK(Input!$B240),"",Input!$A240&amp;""""&amp;Input!$B240&amp;""":"&amp;Input!$C240&amp;Input!E240&amp;Input!$C240&amp;Input!$D240&amp;IF(ISBLANK(Input!$B241),"}"&amp;IF(ISBLANK(G$1),"",","),""))</f>
        <v/>
      </c>
      <c r="G240" t="str">
        <f>IF(ISBLANK(Input!$B240),"",Input!$A240&amp;""""&amp;Input!$B240&amp;""":"&amp;Input!$C240&amp;Input!F240&amp;Input!$C240&amp;Input!$D240&amp;IF(ISBLANK(Input!$B241),"}"&amp;IF(ISBLANK(H$1),"",","),""))</f>
        <v/>
      </c>
    </row>
    <row r="241" spans="6:7" x14ac:dyDescent="0.3">
      <c r="F241" t="str">
        <f>IF(ISBLANK(Input!$B241),"",Input!$A241&amp;""""&amp;Input!$B241&amp;""":"&amp;Input!$C241&amp;Input!E241&amp;Input!$C241&amp;Input!$D241&amp;IF(ISBLANK(Input!$B242),"}"&amp;IF(ISBLANK(G$1),"",","),""))</f>
        <v/>
      </c>
      <c r="G241" t="str">
        <f>IF(ISBLANK(Input!$B241),"",Input!$A241&amp;""""&amp;Input!$B241&amp;""":"&amp;Input!$C241&amp;Input!F241&amp;Input!$C241&amp;Input!$D241&amp;IF(ISBLANK(Input!$B242),"}"&amp;IF(ISBLANK(H$1),"",","),""))</f>
        <v/>
      </c>
    </row>
    <row r="242" spans="6:7" x14ac:dyDescent="0.3">
      <c r="F242" t="str">
        <f>IF(ISBLANK(Input!$B242),"",Input!$A242&amp;""""&amp;Input!$B242&amp;""":"&amp;Input!$C242&amp;Input!E242&amp;Input!$C242&amp;Input!$D242&amp;IF(ISBLANK(Input!$B243),"}"&amp;IF(ISBLANK(G$1),"",","),""))</f>
        <v/>
      </c>
      <c r="G242" t="str">
        <f>IF(ISBLANK(Input!$B242),"",Input!$A242&amp;""""&amp;Input!$B242&amp;""":"&amp;Input!$C242&amp;Input!F242&amp;Input!$C242&amp;Input!$D242&amp;IF(ISBLANK(Input!$B243),"}"&amp;IF(ISBLANK(H$1),"",","),""))</f>
        <v/>
      </c>
    </row>
    <row r="243" spans="6:7" x14ac:dyDescent="0.3">
      <c r="F243" t="str">
        <f>IF(ISBLANK(Input!$B243),"",Input!$A243&amp;""""&amp;Input!$B243&amp;""":"&amp;Input!$C243&amp;Input!E243&amp;Input!$C243&amp;Input!$D243&amp;IF(ISBLANK(Input!$B244),"}"&amp;IF(ISBLANK(G$1),"",","),""))</f>
        <v/>
      </c>
      <c r="G243" t="str">
        <f>IF(ISBLANK(Input!$B243),"",Input!$A243&amp;""""&amp;Input!$B243&amp;""":"&amp;Input!$C243&amp;Input!F243&amp;Input!$C243&amp;Input!$D243&amp;IF(ISBLANK(Input!$B244),"}"&amp;IF(ISBLANK(H$1),"",","),""))</f>
        <v/>
      </c>
    </row>
    <row r="244" spans="6:7" x14ac:dyDescent="0.3">
      <c r="F244" t="str">
        <f>IF(ISBLANK(Input!$B244),"",Input!$A244&amp;""""&amp;Input!$B244&amp;""":"&amp;Input!$C244&amp;Input!E244&amp;Input!$C244&amp;Input!$D244&amp;IF(ISBLANK(Input!$B245),"}"&amp;IF(ISBLANK(G$1),"",","),""))</f>
        <v/>
      </c>
      <c r="G244" t="str">
        <f>IF(ISBLANK(Input!$B244),"",Input!$A244&amp;""""&amp;Input!$B244&amp;""":"&amp;Input!$C244&amp;Input!F244&amp;Input!$C244&amp;Input!$D244&amp;IF(ISBLANK(Input!$B245),"}"&amp;IF(ISBLANK(H$1),"",","),""))</f>
        <v/>
      </c>
    </row>
    <row r="245" spans="6:7" x14ac:dyDescent="0.3">
      <c r="F245" t="str">
        <f>IF(ISBLANK(Input!$B245),"",Input!$A245&amp;""""&amp;Input!$B245&amp;""":"&amp;Input!$C245&amp;Input!E245&amp;Input!$C245&amp;Input!$D245&amp;IF(ISBLANK(Input!$B246),"}"&amp;IF(ISBLANK(G$1),"",","),""))</f>
        <v/>
      </c>
      <c r="G245" t="str">
        <f>IF(ISBLANK(Input!$B245),"",Input!$A245&amp;""""&amp;Input!$B245&amp;""":"&amp;Input!$C245&amp;Input!F245&amp;Input!$C245&amp;Input!$D245&amp;IF(ISBLANK(Input!$B246),"}"&amp;IF(ISBLANK(H$1),"",","),""))</f>
        <v/>
      </c>
    </row>
    <row r="246" spans="6:7" x14ac:dyDescent="0.3">
      <c r="F246" t="str">
        <f>IF(ISBLANK(Input!$B246),"",Input!$A246&amp;""""&amp;Input!$B246&amp;""":"&amp;Input!$C246&amp;Input!E246&amp;Input!$C246&amp;Input!$D246&amp;IF(ISBLANK(Input!$B247),"}"&amp;IF(ISBLANK(G$1),"",","),""))</f>
        <v/>
      </c>
      <c r="G246" t="str">
        <f>IF(ISBLANK(Input!$B246),"",Input!$A246&amp;""""&amp;Input!$B246&amp;""":"&amp;Input!$C246&amp;Input!F246&amp;Input!$C246&amp;Input!$D246&amp;IF(ISBLANK(Input!$B247),"}"&amp;IF(ISBLANK(H$1),"",","),""))</f>
        <v/>
      </c>
    </row>
    <row r="247" spans="6:7" x14ac:dyDescent="0.3">
      <c r="F247" t="str">
        <f>IF(ISBLANK(Input!$B247),"",Input!$A247&amp;""""&amp;Input!$B247&amp;""":"&amp;Input!$C247&amp;Input!E247&amp;Input!$C247&amp;Input!$D247&amp;IF(ISBLANK(Input!$B248),"}"&amp;IF(ISBLANK(G$1),"",","),""))</f>
        <v/>
      </c>
      <c r="G247" t="str">
        <f>IF(ISBLANK(Input!$B247),"",Input!$A247&amp;""""&amp;Input!$B247&amp;""":"&amp;Input!$C247&amp;Input!F247&amp;Input!$C247&amp;Input!$D247&amp;IF(ISBLANK(Input!$B248),"}"&amp;IF(ISBLANK(H$1),"",","),""))</f>
        <v/>
      </c>
    </row>
    <row r="248" spans="6:7" x14ac:dyDescent="0.3">
      <c r="F248" t="str">
        <f>IF(ISBLANK(Input!$B248),"",Input!$A248&amp;""""&amp;Input!$B248&amp;""":"&amp;Input!$C248&amp;Input!E248&amp;Input!$C248&amp;Input!$D248&amp;IF(ISBLANK(Input!$B249),"}"&amp;IF(ISBLANK(G$1),"",","),""))</f>
        <v/>
      </c>
      <c r="G248" t="str">
        <f>IF(ISBLANK(Input!$B248),"",Input!$A248&amp;""""&amp;Input!$B248&amp;""":"&amp;Input!$C248&amp;Input!F248&amp;Input!$C248&amp;Input!$D248&amp;IF(ISBLANK(Input!$B249),"}"&amp;IF(ISBLANK(H$1),"",","),""))</f>
        <v/>
      </c>
    </row>
    <row r="249" spans="6:7" x14ac:dyDescent="0.3">
      <c r="F249" t="str">
        <f>IF(ISBLANK(Input!$B249),"",Input!$A249&amp;""""&amp;Input!$B249&amp;""":"&amp;Input!$C249&amp;Input!E249&amp;Input!$C249&amp;Input!$D249&amp;IF(ISBLANK(Input!$B250),"}"&amp;IF(ISBLANK(G$1),"",","),""))</f>
        <v/>
      </c>
      <c r="G249" t="str">
        <f>IF(ISBLANK(Input!$B249),"",Input!$A249&amp;""""&amp;Input!$B249&amp;""":"&amp;Input!$C249&amp;Input!F249&amp;Input!$C249&amp;Input!$D249&amp;IF(ISBLANK(Input!$B250),"}"&amp;IF(ISBLANK(H$1),"",","),""))</f>
        <v/>
      </c>
    </row>
    <row r="250" spans="6:7" x14ac:dyDescent="0.3">
      <c r="F250" t="str">
        <f>IF(ISBLANK(Input!$B250),"",Input!$A250&amp;""""&amp;Input!$B250&amp;""":"&amp;Input!$C250&amp;Input!E250&amp;Input!$C250&amp;Input!$D250&amp;IF(ISBLANK(Input!$B251),"}"&amp;IF(ISBLANK(G$1),"",","),""))</f>
        <v/>
      </c>
      <c r="G250" t="str">
        <f>IF(ISBLANK(Input!$B250),"",Input!$A250&amp;""""&amp;Input!$B250&amp;""":"&amp;Input!$C250&amp;Input!F250&amp;Input!$C250&amp;Input!$D250&amp;IF(ISBLANK(Input!$B251),"}"&amp;IF(ISBLANK(H$1),"",","),""))</f>
        <v/>
      </c>
    </row>
    <row r="251" spans="6:7" x14ac:dyDescent="0.3">
      <c r="F251" t="str">
        <f>IF(ISBLANK(Input!$B251),"",Input!$A251&amp;""""&amp;Input!$B251&amp;""":"&amp;Input!$C251&amp;Input!E251&amp;Input!$C251&amp;Input!$D251&amp;IF(ISBLANK(Input!$B252),"}"&amp;IF(ISBLANK(G$1),"",","),""))</f>
        <v/>
      </c>
      <c r="G251" t="str">
        <f>IF(ISBLANK(Input!$B251),"",Input!$A251&amp;""""&amp;Input!$B251&amp;""":"&amp;Input!$C251&amp;Input!F251&amp;Input!$C251&amp;Input!$D251&amp;IF(ISBLANK(Input!$B252),"}"&amp;IF(ISBLANK(H$1),"",","),""))</f>
        <v/>
      </c>
    </row>
    <row r="252" spans="6:7" x14ac:dyDescent="0.3">
      <c r="F252" t="str">
        <f>IF(ISBLANK(Input!$B252),"",Input!$A252&amp;""""&amp;Input!$B252&amp;""":"&amp;Input!$C252&amp;Input!E252&amp;Input!$C252&amp;Input!$D252&amp;IF(ISBLANK(Input!$B253),"}"&amp;IF(ISBLANK(G$1),"",","),""))</f>
        <v/>
      </c>
      <c r="G252" t="str">
        <f>IF(ISBLANK(Input!$B252),"",Input!$A252&amp;""""&amp;Input!$B252&amp;""":"&amp;Input!$C252&amp;Input!F252&amp;Input!$C252&amp;Input!$D252&amp;IF(ISBLANK(Input!$B253),"}"&amp;IF(ISBLANK(H$1),"",","),""))</f>
        <v/>
      </c>
    </row>
    <row r="253" spans="6:7" x14ac:dyDescent="0.3">
      <c r="F253" t="str">
        <f>IF(ISBLANK(Input!$B253),"",Input!$A253&amp;""""&amp;Input!$B253&amp;""":"&amp;Input!$C253&amp;Input!E253&amp;Input!$C253&amp;Input!$D253&amp;IF(ISBLANK(Input!$B254),"}"&amp;IF(ISBLANK(G$1),"",","),""))</f>
        <v/>
      </c>
      <c r="G253" t="str">
        <f>IF(ISBLANK(Input!$B253),"",Input!$A253&amp;""""&amp;Input!$B253&amp;""":"&amp;Input!$C253&amp;Input!F253&amp;Input!$C253&amp;Input!$D253&amp;IF(ISBLANK(Input!$B254),"}"&amp;IF(ISBLANK(H$1),"",","),""))</f>
        <v/>
      </c>
    </row>
    <row r="254" spans="6:7" x14ac:dyDescent="0.3">
      <c r="F254" t="str">
        <f>IF(ISBLANK(Input!$B254),"",Input!$A254&amp;""""&amp;Input!$B254&amp;""":"&amp;Input!$C254&amp;Input!E254&amp;Input!$C254&amp;Input!$D254&amp;IF(ISBLANK(Input!$B255),"}"&amp;IF(ISBLANK(G$1),"",","),""))</f>
        <v/>
      </c>
      <c r="G254" t="str">
        <f>IF(ISBLANK(Input!$B254),"",Input!$A254&amp;""""&amp;Input!$B254&amp;""":"&amp;Input!$C254&amp;Input!F254&amp;Input!$C254&amp;Input!$D254&amp;IF(ISBLANK(Input!$B255),"}"&amp;IF(ISBLANK(H$1),"",","),""))</f>
        <v/>
      </c>
    </row>
    <row r="255" spans="6:7" x14ac:dyDescent="0.3">
      <c r="F255" t="str">
        <f>IF(ISBLANK(Input!$B255),"",Input!$A255&amp;""""&amp;Input!$B255&amp;""":"&amp;Input!$C255&amp;Input!E255&amp;Input!$C255&amp;Input!$D255&amp;IF(ISBLANK(Input!$B256),"}"&amp;IF(ISBLANK(G$1),"",","),""))</f>
        <v/>
      </c>
      <c r="G255" t="str">
        <f>IF(ISBLANK(Input!$B255),"",Input!$A255&amp;""""&amp;Input!$B255&amp;""":"&amp;Input!$C255&amp;Input!F255&amp;Input!$C255&amp;Input!$D255&amp;IF(ISBLANK(Input!$B256),"}"&amp;IF(ISBLANK(H$1),"",","),""))</f>
        <v/>
      </c>
    </row>
    <row r="256" spans="6:7" x14ac:dyDescent="0.3">
      <c r="F256" t="str">
        <f>IF(ISBLANK(Input!$B256),"",Input!$A256&amp;""""&amp;Input!$B256&amp;""":"&amp;Input!$C256&amp;Input!E256&amp;Input!$C256&amp;Input!$D256&amp;IF(ISBLANK(Input!$B257),"}"&amp;IF(ISBLANK(G$1),"",","),""))</f>
        <v/>
      </c>
      <c r="G256" t="str">
        <f>IF(ISBLANK(Input!$B256),"",Input!$A256&amp;""""&amp;Input!$B256&amp;""":"&amp;Input!$C256&amp;Input!F256&amp;Input!$C256&amp;Input!$D256&amp;IF(ISBLANK(Input!$B257),"}"&amp;IF(ISBLANK(H$1),"",","),""))</f>
        <v/>
      </c>
    </row>
    <row r="257" spans="6:7" x14ac:dyDescent="0.3">
      <c r="F257" t="str">
        <f>IF(ISBLANK(Input!$B257),"",Input!$A257&amp;""""&amp;Input!$B257&amp;""":"&amp;Input!$C257&amp;Input!E257&amp;Input!$C257&amp;Input!$D257&amp;IF(ISBLANK(Input!$B258),"}"&amp;IF(ISBLANK(G$1),"",","),""))</f>
        <v/>
      </c>
      <c r="G257" t="str">
        <f>IF(ISBLANK(Input!$B257),"",Input!$A257&amp;""""&amp;Input!$B257&amp;""":"&amp;Input!$C257&amp;Input!F257&amp;Input!$C257&amp;Input!$D257&amp;IF(ISBLANK(Input!$B258),"}"&amp;IF(ISBLANK(H$1),"",","),""))</f>
        <v/>
      </c>
    </row>
    <row r="258" spans="6:7" x14ac:dyDescent="0.3">
      <c r="F258" t="str">
        <f>IF(ISBLANK(Input!$B258),"",Input!$A258&amp;""""&amp;Input!$B258&amp;""":"&amp;Input!$C258&amp;Input!E258&amp;Input!$C258&amp;Input!$D258&amp;IF(ISBLANK(Input!$B259),"}"&amp;IF(ISBLANK(G$1),"",","),""))</f>
        <v/>
      </c>
      <c r="G258" t="str">
        <f>IF(ISBLANK(Input!$B258),"",Input!$A258&amp;""""&amp;Input!$B258&amp;""":"&amp;Input!$C258&amp;Input!F258&amp;Input!$C258&amp;Input!$D258&amp;IF(ISBLANK(Input!$B259),"}"&amp;IF(ISBLANK(H$1),"",","),""))</f>
        <v/>
      </c>
    </row>
    <row r="259" spans="6:7" x14ac:dyDescent="0.3">
      <c r="F259" t="str">
        <f>IF(ISBLANK(Input!$B259),"",Input!$A259&amp;""""&amp;Input!$B259&amp;""":"&amp;Input!$C259&amp;Input!E259&amp;Input!$C259&amp;Input!$D259&amp;IF(ISBLANK(Input!$B260),"}"&amp;IF(ISBLANK(G$1),"",","),""))</f>
        <v/>
      </c>
      <c r="G259" t="str">
        <f>IF(ISBLANK(Input!$B259),"",Input!$A259&amp;""""&amp;Input!$B259&amp;""":"&amp;Input!$C259&amp;Input!F259&amp;Input!$C259&amp;Input!$D259&amp;IF(ISBLANK(Input!$B260),"}"&amp;IF(ISBLANK(H$1),"",","),""))</f>
        <v/>
      </c>
    </row>
    <row r="260" spans="6:7" x14ac:dyDescent="0.3">
      <c r="F260" t="str">
        <f>IF(ISBLANK(Input!$B260),"",Input!$A260&amp;""""&amp;Input!$B260&amp;""":"&amp;Input!$C260&amp;Input!E260&amp;Input!$C260&amp;Input!$D260&amp;IF(ISBLANK(Input!$B261),"}"&amp;IF(ISBLANK(G$1),"",","),""))</f>
        <v/>
      </c>
      <c r="G260" t="str">
        <f>IF(ISBLANK(Input!$B260),"",Input!$A260&amp;""""&amp;Input!$B260&amp;""":"&amp;Input!$C260&amp;Input!F260&amp;Input!$C260&amp;Input!$D260&amp;IF(ISBLANK(Input!$B261),"}"&amp;IF(ISBLANK(H$1),"",","),""))</f>
        <v/>
      </c>
    </row>
    <row r="261" spans="6:7" x14ac:dyDescent="0.3">
      <c r="F261" t="str">
        <f>IF(ISBLANK(Input!$B261),"",Input!$A261&amp;""""&amp;Input!$B261&amp;""":"&amp;Input!$C261&amp;Input!E261&amp;Input!$C261&amp;Input!$D261&amp;IF(ISBLANK(Input!$B262),"}"&amp;IF(ISBLANK(G$1),"",","),""))</f>
        <v/>
      </c>
      <c r="G261" t="str">
        <f>IF(ISBLANK(Input!$B261),"",Input!$A261&amp;""""&amp;Input!$B261&amp;""":"&amp;Input!$C261&amp;Input!F261&amp;Input!$C261&amp;Input!$D261&amp;IF(ISBLANK(Input!$B262),"}"&amp;IF(ISBLANK(H$1),"",","),""))</f>
        <v/>
      </c>
    </row>
    <row r="262" spans="6:7" x14ac:dyDescent="0.3">
      <c r="F262" t="str">
        <f>IF(ISBLANK(Input!$B262),"",Input!$A262&amp;""""&amp;Input!$B262&amp;""":"&amp;Input!$C262&amp;Input!E262&amp;Input!$C262&amp;Input!$D262&amp;IF(ISBLANK(Input!$B263),"}"&amp;IF(ISBLANK(G$1),"",","),""))</f>
        <v/>
      </c>
      <c r="G262" t="str">
        <f>IF(ISBLANK(Input!$B262),"",Input!$A262&amp;""""&amp;Input!$B262&amp;""":"&amp;Input!$C262&amp;Input!F262&amp;Input!$C262&amp;Input!$D262&amp;IF(ISBLANK(Input!$B263),"}"&amp;IF(ISBLANK(H$1),"",","),""))</f>
        <v/>
      </c>
    </row>
    <row r="263" spans="6:7" x14ac:dyDescent="0.3">
      <c r="F263" t="str">
        <f>IF(ISBLANK(Input!$B263),"",Input!$A263&amp;""""&amp;Input!$B263&amp;""":"&amp;Input!$C263&amp;Input!E263&amp;Input!$C263&amp;Input!$D263&amp;IF(ISBLANK(Input!$B264),"}"&amp;IF(ISBLANK(G$1),"",","),""))</f>
        <v/>
      </c>
      <c r="G263" t="str">
        <f>IF(ISBLANK(Input!$B263),"",Input!$A263&amp;""""&amp;Input!$B263&amp;""":"&amp;Input!$C263&amp;Input!F263&amp;Input!$C263&amp;Input!$D263&amp;IF(ISBLANK(Input!$B264),"}"&amp;IF(ISBLANK(H$1),"",","),""))</f>
        <v/>
      </c>
    </row>
    <row r="264" spans="6:7" x14ac:dyDescent="0.3">
      <c r="F264" t="str">
        <f>IF(ISBLANK(Input!$B264),"",Input!$A264&amp;""""&amp;Input!$B264&amp;""":"&amp;Input!$C264&amp;Input!E264&amp;Input!$C264&amp;Input!$D264&amp;IF(ISBLANK(Input!$B265),"}"&amp;IF(ISBLANK(G$1),"",","),""))</f>
        <v/>
      </c>
      <c r="G264" t="str">
        <f>IF(ISBLANK(Input!$B264),"",Input!$A264&amp;""""&amp;Input!$B264&amp;""":"&amp;Input!$C264&amp;Input!F264&amp;Input!$C264&amp;Input!$D264&amp;IF(ISBLANK(Input!$B265),"}"&amp;IF(ISBLANK(H$1),"",","),""))</f>
        <v/>
      </c>
    </row>
    <row r="265" spans="6:7" x14ac:dyDescent="0.3">
      <c r="F265" t="str">
        <f>IF(ISBLANK(Input!$B265),"",Input!$A265&amp;""""&amp;Input!$B265&amp;""":"&amp;Input!$C265&amp;Input!E265&amp;Input!$C265&amp;Input!$D265&amp;IF(ISBLANK(Input!$B266),"}"&amp;IF(ISBLANK(G$1),"",","),""))</f>
        <v/>
      </c>
      <c r="G265" t="str">
        <f>IF(ISBLANK(Input!$B265),"",Input!$A265&amp;""""&amp;Input!$B265&amp;""":"&amp;Input!$C265&amp;Input!F265&amp;Input!$C265&amp;Input!$D265&amp;IF(ISBLANK(Input!$B266),"}"&amp;IF(ISBLANK(H$1),"",","),""))</f>
        <v/>
      </c>
    </row>
    <row r="266" spans="6:7" x14ac:dyDescent="0.3">
      <c r="F266" t="str">
        <f>IF(ISBLANK(Input!$B266),"",Input!$A266&amp;""""&amp;Input!$B266&amp;""":"&amp;Input!$C266&amp;Input!E266&amp;Input!$C266&amp;Input!$D266&amp;IF(ISBLANK(Input!$B267),"}"&amp;IF(ISBLANK(G$1),"",","),""))</f>
        <v/>
      </c>
      <c r="G266" t="str">
        <f>IF(ISBLANK(Input!$B266),"",Input!$A266&amp;""""&amp;Input!$B266&amp;""":"&amp;Input!$C266&amp;Input!F266&amp;Input!$C266&amp;Input!$D266&amp;IF(ISBLANK(Input!$B267),"}"&amp;IF(ISBLANK(H$1),"",","),""))</f>
        <v/>
      </c>
    </row>
    <row r="267" spans="6:7" x14ac:dyDescent="0.3">
      <c r="F267" t="str">
        <f>IF(ISBLANK(Input!$B267),"",Input!$A267&amp;""""&amp;Input!$B267&amp;""":"&amp;Input!$C267&amp;Input!E267&amp;Input!$C267&amp;Input!$D267&amp;IF(ISBLANK(Input!$B268),"}"&amp;IF(ISBLANK(G$1),"",","),""))</f>
        <v/>
      </c>
      <c r="G267" t="str">
        <f>IF(ISBLANK(Input!$B267),"",Input!$A267&amp;""""&amp;Input!$B267&amp;""":"&amp;Input!$C267&amp;Input!F267&amp;Input!$C267&amp;Input!$D267&amp;IF(ISBLANK(Input!$B268),"}"&amp;IF(ISBLANK(H$1),"",","),""))</f>
        <v/>
      </c>
    </row>
    <row r="268" spans="6:7" x14ac:dyDescent="0.3">
      <c r="F268" t="str">
        <f>IF(ISBLANK(Input!$B268),"",Input!$A268&amp;""""&amp;Input!$B268&amp;""":"&amp;Input!$C268&amp;Input!E268&amp;Input!$C268&amp;Input!$D268&amp;IF(ISBLANK(Input!$B269),"}"&amp;IF(ISBLANK(G$1),"",","),""))</f>
        <v/>
      </c>
      <c r="G268" t="str">
        <f>IF(ISBLANK(Input!$B268),"",Input!$A268&amp;""""&amp;Input!$B268&amp;""":"&amp;Input!$C268&amp;Input!F268&amp;Input!$C268&amp;Input!$D268&amp;IF(ISBLANK(Input!$B269),"}"&amp;IF(ISBLANK(H$1),"",","),""))</f>
        <v/>
      </c>
    </row>
    <row r="269" spans="6:7" x14ac:dyDescent="0.3">
      <c r="F269" t="str">
        <f>IF(ISBLANK(Input!$B269),"",Input!$A269&amp;""""&amp;Input!$B269&amp;""":"&amp;Input!$C269&amp;Input!E269&amp;Input!$C269&amp;Input!$D269&amp;IF(ISBLANK(Input!$B270),"}"&amp;IF(ISBLANK(G$1),"",","),""))</f>
        <v/>
      </c>
      <c r="G269" t="str">
        <f>IF(ISBLANK(Input!$B269),"",Input!$A269&amp;""""&amp;Input!$B269&amp;""":"&amp;Input!$C269&amp;Input!F269&amp;Input!$C269&amp;Input!$D269&amp;IF(ISBLANK(Input!$B270),"}"&amp;IF(ISBLANK(H$1),"",","),""))</f>
        <v/>
      </c>
    </row>
    <row r="270" spans="6:7" x14ac:dyDescent="0.3">
      <c r="F270" t="str">
        <f>IF(ISBLANK(Input!$B270),"",Input!$A270&amp;""""&amp;Input!$B270&amp;""":"&amp;Input!$C270&amp;Input!E270&amp;Input!$C270&amp;Input!$D270&amp;IF(ISBLANK(Input!$B271),"}"&amp;IF(ISBLANK(G$1),"",","),""))</f>
        <v/>
      </c>
      <c r="G270" t="str">
        <f>IF(ISBLANK(Input!$B270),"",Input!$A270&amp;""""&amp;Input!$B270&amp;""":"&amp;Input!$C270&amp;Input!F270&amp;Input!$C270&amp;Input!$D270&amp;IF(ISBLANK(Input!$B271),"}"&amp;IF(ISBLANK(H$1),"",","),""))</f>
        <v/>
      </c>
    </row>
    <row r="271" spans="6:7" x14ac:dyDescent="0.3">
      <c r="F271" t="str">
        <f>IF(ISBLANK(Input!$B271),"",Input!$A271&amp;""""&amp;Input!$B271&amp;""":"&amp;Input!$C271&amp;Input!E271&amp;Input!$C271&amp;Input!$D271&amp;IF(ISBLANK(Input!$B272),"}"&amp;IF(ISBLANK(G$1),"",","),""))</f>
        <v/>
      </c>
      <c r="G271" t="str">
        <f>IF(ISBLANK(Input!$B271),"",Input!$A271&amp;""""&amp;Input!$B271&amp;""":"&amp;Input!$C271&amp;Input!F271&amp;Input!$C271&amp;Input!$D271&amp;IF(ISBLANK(Input!$B272),"}"&amp;IF(ISBLANK(H$1),"",","),""))</f>
        <v/>
      </c>
    </row>
    <row r="272" spans="6:7" x14ac:dyDescent="0.3">
      <c r="F272" t="str">
        <f>IF(ISBLANK(Input!$B272),"",Input!$A272&amp;""""&amp;Input!$B272&amp;""":"&amp;Input!$C272&amp;Input!E272&amp;Input!$C272&amp;Input!$D272&amp;IF(ISBLANK(Input!$B273),"}"&amp;IF(ISBLANK(G$1),"",","),""))</f>
        <v/>
      </c>
      <c r="G272" t="str">
        <f>IF(ISBLANK(Input!$B272),"",Input!$A272&amp;""""&amp;Input!$B272&amp;""":"&amp;Input!$C272&amp;Input!F272&amp;Input!$C272&amp;Input!$D272&amp;IF(ISBLANK(Input!$B273),"}"&amp;IF(ISBLANK(H$1),"",","),""))</f>
        <v/>
      </c>
    </row>
    <row r="273" spans="6:7" x14ac:dyDescent="0.3">
      <c r="F273" t="str">
        <f>IF(ISBLANK(Input!$B273),"",Input!$A273&amp;""""&amp;Input!$B273&amp;""":"&amp;Input!$C273&amp;Input!E273&amp;Input!$C273&amp;Input!$D273&amp;IF(ISBLANK(Input!$B274),"}"&amp;IF(ISBLANK(G$1),"",","),""))</f>
        <v/>
      </c>
      <c r="G273" t="str">
        <f>IF(ISBLANK(Input!$B273),"",Input!$A273&amp;""""&amp;Input!$B273&amp;""":"&amp;Input!$C273&amp;Input!F273&amp;Input!$C273&amp;Input!$D273&amp;IF(ISBLANK(Input!$B274),"}"&amp;IF(ISBLANK(H$1),"",","),""))</f>
        <v/>
      </c>
    </row>
    <row r="274" spans="6:7" x14ac:dyDescent="0.3">
      <c r="F274" t="str">
        <f>IF(ISBLANK(Input!$B274),"",Input!$A274&amp;""""&amp;Input!$B274&amp;""":"&amp;Input!$C274&amp;Input!E274&amp;Input!$C274&amp;Input!$D274&amp;IF(ISBLANK(Input!$B275),"}"&amp;IF(ISBLANK(G$1),"",","),""))</f>
        <v/>
      </c>
      <c r="G274" t="str">
        <f>IF(ISBLANK(Input!$B274),"",Input!$A274&amp;""""&amp;Input!$B274&amp;""":"&amp;Input!$C274&amp;Input!F274&amp;Input!$C274&amp;Input!$D274&amp;IF(ISBLANK(Input!$B275),"}"&amp;IF(ISBLANK(H$1),"",","),""))</f>
        <v/>
      </c>
    </row>
    <row r="275" spans="6:7" x14ac:dyDescent="0.3">
      <c r="F275" t="str">
        <f>IF(ISBLANK(Input!$B275),"",Input!$A275&amp;""""&amp;Input!$B275&amp;""":"&amp;Input!$C275&amp;Input!E275&amp;Input!$C275&amp;Input!$D275&amp;IF(ISBLANK(Input!$B276),"}"&amp;IF(ISBLANK(G$1),"",","),""))</f>
        <v/>
      </c>
      <c r="G275" t="str">
        <f>IF(ISBLANK(Input!$B275),"",Input!$A275&amp;""""&amp;Input!$B275&amp;""":"&amp;Input!$C275&amp;Input!F275&amp;Input!$C275&amp;Input!$D275&amp;IF(ISBLANK(Input!$B276),"}"&amp;IF(ISBLANK(H$1),"",","),""))</f>
        <v/>
      </c>
    </row>
    <row r="276" spans="6:7" x14ac:dyDescent="0.3">
      <c r="F276" t="str">
        <f>IF(ISBLANK(Input!$B276),"",Input!$A276&amp;""""&amp;Input!$B276&amp;""":"&amp;Input!$C276&amp;Input!E276&amp;Input!$C276&amp;Input!$D276&amp;IF(ISBLANK(Input!$B277),"}"&amp;IF(ISBLANK(G$1),"",","),""))</f>
        <v/>
      </c>
      <c r="G276" t="str">
        <f>IF(ISBLANK(Input!$B276),"",Input!$A276&amp;""""&amp;Input!$B276&amp;""":"&amp;Input!$C276&amp;Input!F276&amp;Input!$C276&amp;Input!$D276&amp;IF(ISBLANK(Input!$B277),"}"&amp;IF(ISBLANK(H$1),"",","),""))</f>
        <v/>
      </c>
    </row>
    <row r="277" spans="6:7" x14ac:dyDescent="0.3">
      <c r="F277" t="str">
        <f>IF(ISBLANK(Input!$B277),"",Input!$A277&amp;""""&amp;Input!$B277&amp;""":"&amp;Input!$C277&amp;Input!E277&amp;Input!$C277&amp;Input!$D277&amp;IF(ISBLANK(Input!$B278),"}"&amp;IF(ISBLANK(G$1),"",","),""))</f>
        <v/>
      </c>
      <c r="G277" t="str">
        <f>IF(ISBLANK(Input!$B277),"",Input!$A277&amp;""""&amp;Input!$B277&amp;""":"&amp;Input!$C277&amp;Input!F277&amp;Input!$C277&amp;Input!$D277&amp;IF(ISBLANK(Input!$B278),"}"&amp;IF(ISBLANK(H$1),"",","),""))</f>
        <v/>
      </c>
    </row>
    <row r="278" spans="6:7" x14ac:dyDescent="0.3">
      <c r="F278" t="str">
        <f>IF(ISBLANK(Input!$B278),"",Input!$A278&amp;""""&amp;Input!$B278&amp;""":"&amp;Input!$C278&amp;Input!E278&amp;Input!$C278&amp;Input!$D278&amp;IF(ISBLANK(Input!$B279),"}"&amp;IF(ISBLANK(G$1),"",","),""))</f>
        <v/>
      </c>
      <c r="G278" t="str">
        <f>IF(ISBLANK(Input!$B278),"",Input!$A278&amp;""""&amp;Input!$B278&amp;""":"&amp;Input!$C278&amp;Input!F278&amp;Input!$C278&amp;Input!$D278&amp;IF(ISBLANK(Input!$B279),"}"&amp;IF(ISBLANK(H$1),"",","),""))</f>
        <v/>
      </c>
    </row>
    <row r="279" spans="6:7" x14ac:dyDescent="0.3">
      <c r="F279" t="str">
        <f>IF(ISBLANK(Input!$B279),"",Input!$A279&amp;""""&amp;Input!$B279&amp;""":"&amp;Input!$C279&amp;Input!E279&amp;Input!$C279&amp;Input!$D279&amp;IF(ISBLANK(Input!$B280),"}"&amp;IF(ISBLANK(G$1),"",","),""))</f>
        <v/>
      </c>
      <c r="G279" t="str">
        <f>IF(ISBLANK(Input!$B279),"",Input!$A279&amp;""""&amp;Input!$B279&amp;""":"&amp;Input!$C279&amp;Input!F279&amp;Input!$C279&amp;Input!$D279&amp;IF(ISBLANK(Input!$B280),"}"&amp;IF(ISBLANK(H$1),"",","),""))</f>
        <v/>
      </c>
    </row>
    <row r="280" spans="6:7" x14ac:dyDescent="0.3">
      <c r="F280" t="str">
        <f>IF(ISBLANK(Input!$B280),"",Input!$A280&amp;""""&amp;Input!$B280&amp;""":"&amp;Input!$C280&amp;Input!E280&amp;Input!$C280&amp;Input!$D280&amp;IF(ISBLANK(Input!$B281),"}"&amp;IF(ISBLANK(G$1),"",","),""))</f>
        <v/>
      </c>
      <c r="G280" t="str">
        <f>IF(ISBLANK(Input!$B280),"",Input!$A280&amp;""""&amp;Input!$B280&amp;""":"&amp;Input!$C280&amp;Input!F280&amp;Input!$C280&amp;Input!$D280&amp;IF(ISBLANK(Input!$B281),"}"&amp;IF(ISBLANK(H$1),"",","),""))</f>
        <v/>
      </c>
    </row>
    <row r="281" spans="6:7" x14ac:dyDescent="0.3">
      <c r="F281" t="str">
        <f>IF(ISBLANK(Input!$B281),"",Input!$A281&amp;""""&amp;Input!$B281&amp;""":"&amp;Input!$C281&amp;Input!E281&amp;Input!$C281&amp;Input!$D281&amp;IF(ISBLANK(Input!$B282),"}"&amp;IF(ISBLANK(G$1),"",","),""))</f>
        <v/>
      </c>
      <c r="G281" t="str">
        <f>IF(ISBLANK(Input!$B281),"",Input!$A281&amp;""""&amp;Input!$B281&amp;""":"&amp;Input!$C281&amp;Input!F281&amp;Input!$C281&amp;Input!$D281&amp;IF(ISBLANK(Input!$B282),"}"&amp;IF(ISBLANK(H$1),"",","),""))</f>
        <v/>
      </c>
    </row>
    <row r="282" spans="6:7" x14ac:dyDescent="0.3">
      <c r="F282" t="str">
        <f>IF(ISBLANK(Input!$B282),"",Input!$A282&amp;""""&amp;Input!$B282&amp;""":"&amp;Input!$C282&amp;Input!E282&amp;Input!$C282&amp;Input!$D282&amp;IF(ISBLANK(Input!$B283),"}"&amp;IF(ISBLANK(G$1),"",","),""))</f>
        <v/>
      </c>
      <c r="G282" t="str">
        <f>IF(ISBLANK(Input!$B282),"",Input!$A282&amp;""""&amp;Input!$B282&amp;""":"&amp;Input!$C282&amp;Input!F282&amp;Input!$C282&amp;Input!$D282&amp;IF(ISBLANK(Input!$B283),"}"&amp;IF(ISBLANK(H$1),"",","),""))</f>
        <v/>
      </c>
    </row>
    <row r="283" spans="6:7" x14ac:dyDescent="0.3">
      <c r="F283" t="str">
        <f>IF(ISBLANK(Input!$B283),"",Input!$A283&amp;""""&amp;Input!$B283&amp;""":"&amp;Input!$C283&amp;Input!E283&amp;Input!$C283&amp;Input!$D283&amp;IF(ISBLANK(Input!$B284),"}"&amp;IF(ISBLANK(G$1),"",","),""))</f>
        <v/>
      </c>
      <c r="G283" t="str">
        <f>IF(ISBLANK(Input!$B283),"",Input!$A283&amp;""""&amp;Input!$B283&amp;""":"&amp;Input!$C283&amp;Input!F283&amp;Input!$C283&amp;Input!$D283&amp;IF(ISBLANK(Input!$B284),"}"&amp;IF(ISBLANK(H$1),"",","),""))</f>
        <v/>
      </c>
    </row>
    <row r="284" spans="6:7" x14ac:dyDescent="0.3">
      <c r="F284" t="str">
        <f>IF(ISBLANK(Input!$B284),"",Input!$A284&amp;""""&amp;Input!$B284&amp;""":"&amp;Input!$C284&amp;Input!E284&amp;Input!$C284&amp;Input!$D284&amp;IF(ISBLANK(Input!$B285),"}"&amp;IF(ISBLANK(G$1),"",","),""))</f>
        <v/>
      </c>
      <c r="G284" t="str">
        <f>IF(ISBLANK(Input!$B284),"",Input!$A284&amp;""""&amp;Input!$B284&amp;""":"&amp;Input!$C284&amp;Input!F284&amp;Input!$C284&amp;Input!$D284&amp;IF(ISBLANK(Input!$B285),"}"&amp;IF(ISBLANK(H$1),"",","),""))</f>
        <v/>
      </c>
    </row>
    <row r="285" spans="6:7" x14ac:dyDescent="0.3">
      <c r="F285" t="str">
        <f>IF(ISBLANK(Input!$B285),"",Input!$A285&amp;""""&amp;Input!$B285&amp;""":"&amp;Input!$C285&amp;Input!E285&amp;Input!$C285&amp;Input!$D285&amp;IF(ISBLANK(Input!$B286),"}"&amp;IF(ISBLANK(G$1),"",","),""))</f>
        <v/>
      </c>
      <c r="G285" t="str">
        <f>IF(ISBLANK(Input!$B285),"",Input!$A285&amp;""""&amp;Input!$B285&amp;""":"&amp;Input!$C285&amp;Input!F285&amp;Input!$C285&amp;Input!$D285&amp;IF(ISBLANK(Input!$B286),"}"&amp;IF(ISBLANK(H$1),"",","),""))</f>
        <v/>
      </c>
    </row>
    <row r="286" spans="6:7" x14ac:dyDescent="0.3">
      <c r="F286" t="str">
        <f>IF(ISBLANK(Input!$B286),"",Input!$A286&amp;""""&amp;Input!$B286&amp;""":"&amp;Input!$C286&amp;Input!E286&amp;Input!$C286&amp;Input!$D286&amp;IF(ISBLANK(Input!$B287),"}"&amp;IF(ISBLANK(G$1),"",","),""))</f>
        <v/>
      </c>
      <c r="G286" t="str">
        <f>IF(ISBLANK(Input!$B286),"",Input!$A286&amp;""""&amp;Input!$B286&amp;""":"&amp;Input!$C286&amp;Input!F286&amp;Input!$C286&amp;Input!$D286&amp;IF(ISBLANK(Input!$B287),"}"&amp;IF(ISBLANK(H$1),"",","),""))</f>
        <v/>
      </c>
    </row>
    <row r="287" spans="6:7" x14ac:dyDescent="0.3">
      <c r="F287" t="str">
        <f>IF(ISBLANK(Input!$B287),"",Input!$A287&amp;""""&amp;Input!$B287&amp;""":"&amp;Input!$C287&amp;Input!E287&amp;Input!$C287&amp;Input!$D287&amp;IF(ISBLANK(Input!$B288),"}"&amp;IF(ISBLANK(G$1),"",","),""))</f>
        <v/>
      </c>
      <c r="G287" t="str">
        <f>IF(ISBLANK(Input!$B287),"",Input!$A287&amp;""""&amp;Input!$B287&amp;""":"&amp;Input!$C287&amp;Input!F287&amp;Input!$C287&amp;Input!$D287&amp;IF(ISBLANK(Input!$B288),"}"&amp;IF(ISBLANK(H$1),"",","),""))</f>
        <v/>
      </c>
    </row>
    <row r="288" spans="6:7" x14ac:dyDescent="0.3">
      <c r="F288" t="str">
        <f>IF(ISBLANK(Input!$B288),"",Input!$A288&amp;""""&amp;Input!$B288&amp;""":"&amp;Input!$C288&amp;Input!E288&amp;Input!$C288&amp;Input!$D288&amp;IF(ISBLANK(Input!$B289),"}"&amp;IF(ISBLANK(G$1),"",","),""))</f>
        <v/>
      </c>
      <c r="G288" t="str">
        <f>IF(ISBLANK(Input!$B288),"",Input!$A288&amp;""""&amp;Input!$B288&amp;""":"&amp;Input!$C288&amp;Input!F288&amp;Input!$C288&amp;Input!$D288&amp;IF(ISBLANK(Input!$B289),"}"&amp;IF(ISBLANK(H$1),"",","),""))</f>
        <v/>
      </c>
    </row>
    <row r="289" spans="6:7" x14ac:dyDescent="0.3">
      <c r="F289" t="str">
        <f>IF(ISBLANK(Input!$B289),"",Input!$A289&amp;""""&amp;Input!$B289&amp;""":"&amp;Input!$C289&amp;Input!E289&amp;Input!$C289&amp;Input!$D289&amp;IF(ISBLANK(Input!$B290),"}"&amp;IF(ISBLANK(G$1),"",","),""))</f>
        <v/>
      </c>
      <c r="G289" t="str">
        <f>IF(ISBLANK(Input!$B289),"",Input!$A289&amp;""""&amp;Input!$B289&amp;""":"&amp;Input!$C289&amp;Input!F289&amp;Input!$C289&amp;Input!$D289&amp;IF(ISBLANK(Input!$B290),"}"&amp;IF(ISBLANK(H$1),"",","),""))</f>
        <v/>
      </c>
    </row>
    <row r="290" spans="6:7" x14ac:dyDescent="0.3">
      <c r="F290" t="str">
        <f>IF(ISBLANK(Input!$B290),"",Input!$A290&amp;""""&amp;Input!$B290&amp;""":"&amp;Input!$C290&amp;Input!E290&amp;Input!$C290&amp;Input!$D290&amp;IF(ISBLANK(Input!$B291),"}"&amp;IF(ISBLANK(G$1),"",","),""))</f>
        <v/>
      </c>
      <c r="G290" t="str">
        <f>IF(ISBLANK(Input!$B290),"",Input!$A290&amp;""""&amp;Input!$B290&amp;""":"&amp;Input!$C290&amp;Input!F290&amp;Input!$C290&amp;Input!$D290&amp;IF(ISBLANK(Input!$B291),"}"&amp;IF(ISBLANK(H$1),"",","),""))</f>
        <v/>
      </c>
    </row>
    <row r="291" spans="6:7" x14ac:dyDescent="0.3">
      <c r="F291" t="str">
        <f>IF(ISBLANK(Input!$B291),"",Input!$A291&amp;""""&amp;Input!$B291&amp;""":"&amp;Input!$C291&amp;Input!E291&amp;Input!$C291&amp;Input!$D291&amp;IF(ISBLANK(Input!$B292),"}"&amp;IF(ISBLANK(G$1),"",","),""))</f>
        <v/>
      </c>
      <c r="G291" t="str">
        <f>IF(ISBLANK(Input!$B291),"",Input!$A291&amp;""""&amp;Input!$B291&amp;""":"&amp;Input!$C291&amp;Input!F291&amp;Input!$C291&amp;Input!$D291&amp;IF(ISBLANK(Input!$B292),"}"&amp;IF(ISBLANK(H$1),"",","),""))</f>
        <v/>
      </c>
    </row>
    <row r="292" spans="6:7" x14ac:dyDescent="0.3">
      <c r="F292" t="str">
        <f>IF(ISBLANK(Input!$B292),"",Input!$A292&amp;""""&amp;Input!$B292&amp;""":"&amp;Input!$C292&amp;Input!E292&amp;Input!$C292&amp;Input!$D292&amp;IF(ISBLANK(Input!$B293),"}"&amp;IF(ISBLANK(G$1),"",","),""))</f>
        <v/>
      </c>
      <c r="G292" t="str">
        <f>IF(ISBLANK(Input!$B292),"",Input!$A292&amp;""""&amp;Input!$B292&amp;""":"&amp;Input!$C292&amp;Input!F292&amp;Input!$C292&amp;Input!$D292&amp;IF(ISBLANK(Input!$B293),"}"&amp;IF(ISBLANK(H$1),"",","),""))</f>
        <v/>
      </c>
    </row>
    <row r="293" spans="6:7" x14ac:dyDescent="0.3">
      <c r="F293" t="str">
        <f>IF(ISBLANK(Input!$B293),"",Input!$A293&amp;""""&amp;Input!$B293&amp;""":"&amp;Input!$C293&amp;Input!E293&amp;Input!$C293&amp;Input!$D293&amp;IF(ISBLANK(Input!$B294),"}"&amp;IF(ISBLANK(G$1),"",","),""))</f>
        <v/>
      </c>
      <c r="G293" t="str">
        <f>IF(ISBLANK(Input!$B293),"",Input!$A293&amp;""""&amp;Input!$B293&amp;""":"&amp;Input!$C293&amp;Input!F293&amp;Input!$C293&amp;Input!$D293&amp;IF(ISBLANK(Input!$B294),"}"&amp;IF(ISBLANK(H$1),"",","),""))</f>
        <v/>
      </c>
    </row>
    <row r="294" spans="6:7" x14ac:dyDescent="0.3">
      <c r="F294" t="str">
        <f>IF(ISBLANK(Input!$B294),"",Input!$A294&amp;""""&amp;Input!$B294&amp;""":"&amp;Input!$C294&amp;Input!E294&amp;Input!$C294&amp;Input!$D294&amp;IF(ISBLANK(Input!$B295),"}"&amp;IF(ISBLANK(G$1),"",","),""))</f>
        <v/>
      </c>
      <c r="G294" t="str">
        <f>IF(ISBLANK(Input!$B294),"",Input!$A294&amp;""""&amp;Input!$B294&amp;""":"&amp;Input!$C294&amp;Input!F294&amp;Input!$C294&amp;Input!$D294&amp;IF(ISBLANK(Input!$B295),"}"&amp;IF(ISBLANK(H$1),"",","),""))</f>
        <v/>
      </c>
    </row>
    <row r="295" spans="6:7" x14ac:dyDescent="0.3">
      <c r="F295" t="str">
        <f>IF(ISBLANK(Input!$B295),"",Input!$A295&amp;""""&amp;Input!$B295&amp;""":"&amp;Input!$C295&amp;Input!E295&amp;Input!$C295&amp;Input!$D295&amp;IF(ISBLANK(Input!$B296),"}"&amp;IF(ISBLANK(G$1),"",","),""))</f>
        <v/>
      </c>
      <c r="G295" t="str">
        <f>IF(ISBLANK(Input!$B295),"",Input!$A295&amp;""""&amp;Input!$B295&amp;""":"&amp;Input!$C295&amp;Input!F295&amp;Input!$C295&amp;Input!$D295&amp;IF(ISBLANK(Input!$B296),"}"&amp;IF(ISBLANK(H$1),"",","),""))</f>
        <v/>
      </c>
    </row>
    <row r="296" spans="6:7" x14ac:dyDescent="0.3">
      <c r="F296" t="str">
        <f>IF(ISBLANK(Input!$B296),"",Input!$A296&amp;""""&amp;Input!$B296&amp;""":"&amp;Input!$C296&amp;Input!E296&amp;Input!$C296&amp;Input!$D296&amp;IF(ISBLANK(Input!$B297),"}"&amp;IF(ISBLANK(G$1),"",","),""))</f>
        <v/>
      </c>
      <c r="G296" t="str">
        <f>IF(ISBLANK(Input!$B296),"",Input!$A296&amp;""""&amp;Input!$B296&amp;""":"&amp;Input!$C296&amp;Input!F296&amp;Input!$C296&amp;Input!$D296&amp;IF(ISBLANK(Input!$B297),"}"&amp;IF(ISBLANK(H$1),"",","),""))</f>
        <v/>
      </c>
    </row>
    <row r="297" spans="6:7" x14ac:dyDescent="0.3">
      <c r="F297" t="str">
        <f>IF(ISBLANK(Input!$B297),"",Input!$A297&amp;""""&amp;Input!$B297&amp;""":"&amp;Input!$C297&amp;Input!E297&amp;Input!$C297&amp;Input!$D297&amp;IF(ISBLANK(Input!$B298),"}"&amp;IF(ISBLANK(G$1),"",","),""))</f>
        <v/>
      </c>
      <c r="G297" t="str">
        <f>IF(ISBLANK(Input!$B297),"",Input!$A297&amp;""""&amp;Input!$B297&amp;""":"&amp;Input!$C297&amp;Input!F297&amp;Input!$C297&amp;Input!$D297&amp;IF(ISBLANK(Input!$B298),"}"&amp;IF(ISBLANK(H$1),"",","),""))</f>
        <v/>
      </c>
    </row>
    <row r="298" spans="6:7" x14ac:dyDescent="0.3">
      <c r="F298" t="str">
        <f>IF(ISBLANK(Input!$B298),"",Input!$A298&amp;""""&amp;Input!$B298&amp;""":"&amp;Input!$C298&amp;Input!E298&amp;Input!$C298&amp;Input!$D298&amp;IF(ISBLANK(Input!$B299),"}"&amp;IF(ISBLANK(G$1),"",","),""))</f>
        <v/>
      </c>
      <c r="G298" t="str">
        <f>IF(ISBLANK(Input!$B298),"",Input!$A298&amp;""""&amp;Input!$B298&amp;""":"&amp;Input!$C298&amp;Input!F298&amp;Input!$C298&amp;Input!$D298&amp;IF(ISBLANK(Input!$B299),"}"&amp;IF(ISBLANK(H$1),"",","),""))</f>
        <v/>
      </c>
    </row>
    <row r="299" spans="6:7" x14ac:dyDescent="0.3">
      <c r="F299" t="str">
        <f>IF(ISBLANK(Input!$B299),"",Input!$A299&amp;""""&amp;Input!$B299&amp;""":"&amp;Input!$C299&amp;Input!E299&amp;Input!$C299&amp;Input!$D299&amp;IF(ISBLANK(Input!$B300),"}"&amp;IF(ISBLANK(G$1),"",","),""))</f>
        <v/>
      </c>
      <c r="G299" t="str">
        <f>IF(ISBLANK(Input!$B299),"",Input!$A299&amp;""""&amp;Input!$B299&amp;""":"&amp;Input!$C299&amp;Input!F299&amp;Input!$C299&amp;Input!$D299&amp;IF(ISBLANK(Input!$B300),"}"&amp;IF(ISBLANK(H$1),"",","),""))</f>
        <v/>
      </c>
    </row>
    <row r="300" spans="6:7" x14ac:dyDescent="0.3">
      <c r="F300" t="str">
        <f>IF(ISBLANK(Input!$B300),"",Input!$A300&amp;""""&amp;Input!$B300&amp;""":"&amp;Input!$C300&amp;Input!E300&amp;Input!$C300&amp;Input!$D300&amp;IF(ISBLANK(Input!$B301),"}"&amp;IF(ISBLANK(G$1),"",","),""))</f>
        <v/>
      </c>
      <c r="G300" t="str">
        <f>IF(ISBLANK(Input!$B300),"",Input!$A300&amp;""""&amp;Input!$B300&amp;""":"&amp;Input!$C300&amp;Input!F300&amp;Input!$C300&amp;Input!$D300&amp;IF(ISBLANK(Input!$B301),"}"&amp;IF(ISBLANK(H$1),"",","),""))</f>
        <v/>
      </c>
    </row>
    <row r="301" spans="6:7" x14ac:dyDescent="0.3">
      <c r="F301" t="str">
        <f>IF(ISBLANK(Input!$B301),"",Input!$A301&amp;""""&amp;Input!$B301&amp;""":"&amp;Input!$C301&amp;Input!E301&amp;Input!$C301&amp;Input!$D301&amp;IF(ISBLANK(Input!$B302),"}"&amp;IF(ISBLANK(G$1),"",","),""))</f>
        <v/>
      </c>
      <c r="G301" t="str">
        <f>IF(ISBLANK(Input!$B301),"",Input!$A301&amp;""""&amp;Input!$B301&amp;""":"&amp;Input!$C301&amp;Input!F301&amp;Input!$C301&amp;Input!$D301&amp;IF(ISBLANK(Input!$B302),"}"&amp;IF(ISBLANK(H$1),"",","),""))</f>
        <v/>
      </c>
    </row>
    <row r="302" spans="6:7" x14ac:dyDescent="0.3">
      <c r="F302" t="str">
        <f>IF(ISBLANK(Input!$B302),"",Input!$A302&amp;""""&amp;Input!$B302&amp;""":"&amp;Input!$C302&amp;Input!E302&amp;Input!$C302&amp;Input!$D302&amp;IF(ISBLANK(Input!$B303),"}"&amp;IF(ISBLANK(G$1),"",","),""))</f>
        <v/>
      </c>
      <c r="G302" t="str">
        <f>IF(ISBLANK(Input!$B302),"",Input!$A302&amp;""""&amp;Input!$B302&amp;""":"&amp;Input!$C302&amp;Input!F302&amp;Input!$C302&amp;Input!$D302&amp;IF(ISBLANK(Input!$B303),"}"&amp;IF(ISBLANK(H$1),"",","),""))</f>
        <v/>
      </c>
    </row>
    <row r="303" spans="6:7" x14ac:dyDescent="0.3">
      <c r="F303" t="str">
        <f>IF(ISBLANK(Input!$B303),"",Input!$A303&amp;""""&amp;Input!$B303&amp;""":"&amp;Input!$C303&amp;Input!E303&amp;Input!$C303&amp;Input!$D303&amp;IF(ISBLANK(Input!$B304),"}"&amp;IF(ISBLANK(G$1),"",","),""))</f>
        <v/>
      </c>
      <c r="G303" t="str">
        <f>IF(ISBLANK(Input!$B303),"",Input!$A303&amp;""""&amp;Input!$B303&amp;""":"&amp;Input!$C303&amp;Input!F303&amp;Input!$C303&amp;Input!$D303&amp;IF(ISBLANK(Input!$B304),"}"&amp;IF(ISBLANK(H$1),"",","),""))</f>
        <v/>
      </c>
    </row>
    <row r="304" spans="6:7" x14ac:dyDescent="0.3">
      <c r="F304" t="str">
        <f>IF(ISBLANK(Input!$B304),"",Input!$A304&amp;""""&amp;Input!$B304&amp;""":"&amp;Input!$C304&amp;Input!E304&amp;Input!$C304&amp;Input!$D304&amp;IF(ISBLANK(Input!$B305),"}"&amp;IF(ISBLANK(G$1),"",","),""))</f>
        <v/>
      </c>
      <c r="G304" t="str">
        <f>IF(ISBLANK(Input!$B304),"",Input!$A304&amp;""""&amp;Input!$B304&amp;""":"&amp;Input!$C304&amp;Input!F304&amp;Input!$C304&amp;Input!$D304&amp;IF(ISBLANK(Input!$B305),"}"&amp;IF(ISBLANK(H$1),"",","),""))</f>
        <v/>
      </c>
    </row>
    <row r="305" spans="6:7" x14ac:dyDescent="0.3">
      <c r="F305" t="str">
        <f>IF(ISBLANK(Input!$B305),"",Input!$A305&amp;""""&amp;Input!$B305&amp;""":"&amp;Input!$C305&amp;Input!E305&amp;Input!$C305&amp;Input!$D305&amp;IF(ISBLANK(Input!$B306),"}"&amp;IF(ISBLANK(G$1),"",","),""))</f>
        <v/>
      </c>
      <c r="G305" t="str">
        <f>IF(ISBLANK(Input!$B305),"",Input!$A305&amp;""""&amp;Input!$B305&amp;""":"&amp;Input!$C305&amp;Input!F305&amp;Input!$C305&amp;Input!$D305&amp;IF(ISBLANK(Input!$B306),"}"&amp;IF(ISBLANK(H$1),"",","),""))</f>
        <v/>
      </c>
    </row>
    <row r="306" spans="6:7" x14ac:dyDescent="0.3">
      <c r="F306" t="str">
        <f>IF(ISBLANK(Input!$B306),"",Input!$A306&amp;""""&amp;Input!$B306&amp;""":"&amp;Input!$C306&amp;Input!E306&amp;Input!$C306&amp;Input!$D306&amp;IF(ISBLANK(Input!$B307),"}"&amp;IF(ISBLANK(G$1),"",","),""))</f>
        <v/>
      </c>
      <c r="G306" t="str">
        <f>IF(ISBLANK(Input!$B306),"",Input!$A306&amp;""""&amp;Input!$B306&amp;""":"&amp;Input!$C306&amp;Input!F306&amp;Input!$C306&amp;Input!$D306&amp;IF(ISBLANK(Input!$B307),"}"&amp;IF(ISBLANK(H$1),"",","),""))</f>
        <v/>
      </c>
    </row>
    <row r="307" spans="6:7" x14ac:dyDescent="0.3">
      <c r="F307" t="str">
        <f>IF(ISBLANK(Input!$B307),"",Input!$A307&amp;""""&amp;Input!$B307&amp;""":"&amp;Input!$C307&amp;Input!E307&amp;Input!$C307&amp;Input!$D307&amp;IF(ISBLANK(Input!$B308),"}"&amp;IF(ISBLANK(G$1),"",","),""))</f>
        <v/>
      </c>
      <c r="G307" t="str">
        <f>IF(ISBLANK(Input!$B307),"",Input!$A307&amp;""""&amp;Input!$B307&amp;""":"&amp;Input!$C307&amp;Input!F307&amp;Input!$C307&amp;Input!$D307&amp;IF(ISBLANK(Input!$B308),"}"&amp;IF(ISBLANK(H$1),"",","),""))</f>
        <v/>
      </c>
    </row>
    <row r="308" spans="6:7" x14ac:dyDescent="0.3">
      <c r="F308" t="str">
        <f>IF(ISBLANK(Input!$B308),"",Input!$A308&amp;""""&amp;Input!$B308&amp;""":"&amp;Input!$C308&amp;Input!E308&amp;Input!$C308&amp;Input!$D308&amp;IF(ISBLANK(Input!$B309),"}"&amp;IF(ISBLANK(G$1),"",","),""))</f>
        <v/>
      </c>
      <c r="G308" t="str">
        <f>IF(ISBLANK(Input!$B308),"",Input!$A308&amp;""""&amp;Input!$B308&amp;""":"&amp;Input!$C308&amp;Input!F308&amp;Input!$C308&amp;Input!$D308&amp;IF(ISBLANK(Input!$B309),"}"&amp;IF(ISBLANK(H$1),"",","),""))</f>
        <v/>
      </c>
    </row>
    <row r="309" spans="6:7" x14ac:dyDescent="0.3">
      <c r="F309" t="str">
        <f>IF(ISBLANK(Input!$B309),"",Input!$A309&amp;""""&amp;Input!$B309&amp;""":"&amp;Input!$C309&amp;Input!E309&amp;Input!$C309&amp;Input!$D309&amp;IF(ISBLANK(Input!$B310),"}"&amp;IF(ISBLANK(G$1),"",","),""))</f>
        <v/>
      </c>
      <c r="G309" t="str">
        <f>IF(ISBLANK(Input!$B309),"",Input!$A309&amp;""""&amp;Input!$B309&amp;""":"&amp;Input!$C309&amp;Input!F309&amp;Input!$C309&amp;Input!$D309&amp;IF(ISBLANK(Input!$B310),"}"&amp;IF(ISBLANK(H$1),"",","),""))</f>
        <v/>
      </c>
    </row>
    <row r="310" spans="6:7" x14ac:dyDescent="0.3">
      <c r="F310" t="str">
        <f>IF(ISBLANK(Input!$B310),"",Input!$A310&amp;""""&amp;Input!$B310&amp;""":"&amp;Input!$C310&amp;Input!E310&amp;Input!$C310&amp;Input!$D310&amp;IF(ISBLANK(Input!$B311),"}"&amp;IF(ISBLANK(G$1),"",","),""))</f>
        <v/>
      </c>
      <c r="G310" t="str">
        <f>IF(ISBLANK(Input!$B310),"",Input!$A310&amp;""""&amp;Input!$B310&amp;""":"&amp;Input!$C310&amp;Input!F310&amp;Input!$C310&amp;Input!$D310&amp;IF(ISBLANK(Input!$B311),"}"&amp;IF(ISBLANK(H$1),"",","),""))</f>
        <v/>
      </c>
    </row>
    <row r="311" spans="6:7" x14ac:dyDescent="0.3">
      <c r="F311" t="str">
        <f>IF(ISBLANK(Input!$B311),"",Input!$A311&amp;""""&amp;Input!$B311&amp;""":"&amp;Input!$C311&amp;Input!E311&amp;Input!$C311&amp;Input!$D311&amp;IF(ISBLANK(Input!$B312),"}"&amp;IF(ISBLANK(G$1),"",","),""))</f>
        <v/>
      </c>
      <c r="G311" t="str">
        <f>IF(ISBLANK(Input!$B311),"",Input!$A311&amp;""""&amp;Input!$B311&amp;""":"&amp;Input!$C311&amp;Input!F311&amp;Input!$C311&amp;Input!$D311&amp;IF(ISBLANK(Input!$B312),"}"&amp;IF(ISBLANK(H$1),"",","),""))</f>
        <v/>
      </c>
    </row>
    <row r="312" spans="6:7" x14ac:dyDescent="0.3">
      <c r="F312" t="str">
        <f>IF(ISBLANK(Input!$B312),"",Input!$A312&amp;""""&amp;Input!$B312&amp;""":"&amp;Input!$C312&amp;Input!E312&amp;Input!$C312&amp;Input!$D312&amp;IF(ISBLANK(Input!$B313),"}"&amp;IF(ISBLANK(G$1),"",","),""))</f>
        <v/>
      </c>
      <c r="G312" t="str">
        <f>IF(ISBLANK(Input!$B312),"",Input!$A312&amp;""""&amp;Input!$B312&amp;""":"&amp;Input!$C312&amp;Input!F312&amp;Input!$C312&amp;Input!$D312&amp;IF(ISBLANK(Input!$B313),"}"&amp;IF(ISBLANK(H$1),"",","),""))</f>
        <v/>
      </c>
    </row>
    <row r="313" spans="6:7" x14ac:dyDescent="0.3">
      <c r="F313" t="str">
        <f>IF(ISBLANK(Input!$B313),"",Input!$A313&amp;""""&amp;Input!$B313&amp;""":"&amp;Input!$C313&amp;Input!E313&amp;Input!$C313&amp;Input!$D313&amp;IF(ISBLANK(Input!$B314),"}"&amp;IF(ISBLANK(G$1),"",","),""))</f>
        <v/>
      </c>
      <c r="G313" t="str">
        <f>IF(ISBLANK(Input!$B313),"",Input!$A313&amp;""""&amp;Input!$B313&amp;""":"&amp;Input!$C313&amp;Input!F313&amp;Input!$C313&amp;Input!$D313&amp;IF(ISBLANK(Input!$B314),"}"&amp;IF(ISBLANK(H$1),"",","),""))</f>
        <v/>
      </c>
    </row>
    <row r="314" spans="6:7" x14ac:dyDescent="0.3">
      <c r="F314" t="str">
        <f>IF(ISBLANK(Input!$B314),"",Input!$A314&amp;""""&amp;Input!$B314&amp;""":"&amp;Input!$C314&amp;Input!E314&amp;Input!$C314&amp;Input!$D314&amp;IF(ISBLANK(Input!$B315),"}"&amp;IF(ISBLANK(G$1),"",","),""))</f>
        <v/>
      </c>
      <c r="G314" t="str">
        <f>IF(ISBLANK(Input!$B314),"",Input!$A314&amp;""""&amp;Input!$B314&amp;""":"&amp;Input!$C314&amp;Input!F314&amp;Input!$C314&amp;Input!$D314&amp;IF(ISBLANK(Input!$B315),"}"&amp;IF(ISBLANK(H$1),"",","),""))</f>
        <v/>
      </c>
    </row>
    <row r="315" spans="6:7" x14ac:dyDescent="0.3">
      <c r="F315" t="str">
        <f>IF(ISBLANK(Input!$B315),"",Input!$A315&amp;""""&amp;Input!$B315&amp;""":"&amp;Input!$C315&amp;Input!E315&amp;Input!$C315&amp;Input!$D315&amp;IF(ISBLANK(Input!$B316),"}"&amp;IF(ISBLANK(G$1),"",","),""))</f>
        <v/>
      </c>
      <c r="G315" t="str">
        <f>IF(ISBLANK(Input!$B315),"",Input!$A315&amp;""""&amp;Input!$B315&amp;""":"&amp;Input!$C315&amp;Input!F315&amp;Input!$C315&amp;Input!$D315&amp;IF(ISBLANK(Input!$B316),"}"&amp;IF(ISBLANK(H$1),"",","),""))</f>
        <v/>
      </c>
    </row>
    <row r="316" spans="6:7" x14ac:dyDescent="0.3">
      <c r="F316" t="str">
        <f>IF(ISBLANK(Input!$B316),"",Input!$A316&amp;""""&amp;Input!$B316&amp;""":"&amp;Input!$C316&amp;Input!E316&amp;Input!$C316&amp;Input!$D316&amp;IF(ISBLANK(Input!$B317),"}"&amp;IF(ISBLANK(G$1),"",","),""))</f>
        <v/>
      </c>
      <c r="G316" t="str">
        <f>IF(ISBLANK(Input!$B316),"",Input!$A316&amp;""""&amp;Input!$B316&amp;""":"&amp;Input!$C316&amp;Input!F316&amp;Input!$C316&amp;Input!$D316&amp;IF(ISBLANK(Input!$B317),"}"&amp;IF(ISBLANK(H$1),"",","),""))</f>
        <v/>
      </c>
    </row>
    <row r="317" spans="6:7" x14ac:dyDescent="0.3">
      <c r="F317" t="str">
        <f>IF(ISBLANK(Input!$B317),"",Input!$A317&amp;""""&amp;Input!$B317&amp;""":"&amp;Input!$C317&amp;Input!E317&amp;Input!$C317&amp;Input!$D317&amp;IF(ISBLANK(Input!$B318),"}"&amp;IF(ISBLANK(G$1),"",","),""))</f>
        <v/>
      </c>
      <c r="G317" t="str">
        <f>IF(ISBLANK(Input!$B317),"",Input!$A317&amp;""""&amp;Input!$B317&amp;""":"&amp;Input!$C317&amp;Input!F317&amp;Input!$C317&amp;Input!$D317&amp;IF(ISBLANK(Input!$B318),"}"&amp;IF(ISBLANK(H$1),"",","),""))</f>
        <v/>
      </c>
    </row>
    <row r="318" spans="6:7" x14ac:dyDescent="0.3">
      <c r="F318" t="str">
        <f>IF(ISBLANK(Input!$B318),"",Input!$A318&amp;""""&amp;Input!$B318&amp;""":"&amp;Input!$C318&amp;Input!E318&amp;Input!$C318&amp;Input!$D318&amp;IF(ISBLANK(Input!$B319),"}"&amp;IF(ISBLANK(G$1),"",","),""))</f>
        <v/>
      </c>
      <c r="G318" t="str">
        <f>IF(ISBLANK(Input!$B318),"",Input!$A318&amp;""""&amp;Input!$B318&amp;""":"&amp;Input!$C318&amp;Input!F318&amp;Input!$C318&amp;Input!$D318&amp;IF(ISBLANK(Input!$B319),"}"&amp;IF(ISBLANK(H$1),"",","),""))</f>
        <v/>
      </c>
    </row>
    <row r="319" spans="6:7" x14ac:dyDescent="0.3">
      <c r="F319" t="str">
        <f>IF(ISBLANK(Input!$B319),"",Input!$A319&amp;""""&amp;Input!$B319&amp;""":"&amp;Input!$C319&amp;Input!E319&amp;Input!$C319&amp;Input!$D319&amp;IF(ISBLANK(Input!$B320),"}"&amp;IF(ISBLANK(G$1),"",","),""))</f>
        <v/>
      </c>
      <c r="G319" t="str">
        <f>IF(ISBLANK(Input!$B319),"",Input!$A319&amp;""""&amp;Input!$B319&amp;""":"&amp;Input!$C319&amp;Input!F319&amp;Input!$C319&amp;Input!$D319&amp;IF(ISBLANK(Input!$B320),"}"&amp;IF(ISBLANK(H$1),"",","),""))</f>
        <v/>
      </c>
    </row>
    <row r="320" spans="6:7" x14ac:dyDescent="0.3">
      <c r="F320" t="str">
        <f>IF(ISBLANK(Input!$B320),"",Input!$A320&amp;""""&amp;Input!$B320&amp;""":"&amp;Input!$C320&amp;Input!E320&amp;Input!$C320&amp;Input!$D320&amp;IF(ISBLANK(Input!$B321),"}"&amp;IF(ISBLANK(G$1),"",","),""))</f>
        <v/>
      </c>
      <c r="G320" t="str">
        <f>IF(ISBLANK(Input!$B320),"",Input!$A320&amp;""""&amp;Input!$B320&amp;""":"&amp;Input!$C320&amp;Input!F320&amp;Input!$C320&amp;Input!$D320&amp;IF(ISBLANK(Input!$B321),"}"&amp;IF(ISBLANK(H$1),"",","),""))</f>
        <v/>
      </c>
    </row>
    <row r="321" spans="6:7" x14ac:dyDescent="0.3">
      <c r="F321" t="str">
        <f>IF(ISBLANK(Input!$B321),"",Input!$A321&amp;""""&amp;Input!$B321&amp;""":"&amp;Input!$C321&amp;Input!E321&amp;Input!$C321&amp;Input!$D321&amp;IF(ISBLANK(Input!$B322),"}"&amp;IF(ISBLANK(G$1),"",","),""))</f>
        <v/>
      </c>
      <c r="G321" t="str">
        <f>IF(ISBLANK(Input!$B321),"",Input!$A321&amp;""""&amp;Input!$B321&amp;""":"&amp;Input!$C321&amp;Input!F321&amp;Input!$C321&amp;Input!$D321&amp;IF(ISBLANK(Input!$B322),"}"&amp;IF(ISBLANK(H$1),"",","),""))</f>
        <v/>
      </c>
    </row>
    <row r="322" spans="6:7" x14ac:dyDescent="0.3">
      <c r="F322" t="str">
        <f>IF(ISBLANK(Input!$B322),"",Input!$A322&amp;""""&amp;Input!$B322&amp;""":"&amp;Input!$C322&amp;Input!E322&amp;Input!$C322&amp;Input!$D322&amp;IF(ISBLANK(Input!$B323),"}"&amp;IF(ISBLANK(G$1),"",","),""))</f>
        <v/>
      </c>
      <c r="G322" t="str">
        <f>IF(ISBLANK(Input!$B322),"",Input!$A322&amp;""""&amp;Input!$B322&amp;""":"&amp;Input!$C322&amp;Input!F322&amp;Input!$C322&amp;Input!$D322&amp;IF(ISBLANK(Input!$B323),"}"&amp;IF(ISBLANK(H$1),"",","),""))</f>
        <v/>
      </c>
    </row>
    <row r="323" spans="6:7" x14ac:dyDescent="0.3">
      <c r="F323" t="str">
        <f>IF(ISBLANK(Input!$B323),"",Input!$A323&amp;""""&amp;Input!$B323&amp;""":"&amp;Input!$C323&amp;Input!E323&amp;Input!$C323&amp;Input!$D323&amp;IF(ISBLANK(Input!$B324),"}"&amp;IF(ISBLANK(G$1),"",","),""))</f>
        <v/>
      </c>
      <c r="G323" t="str">
        <f>IF(ISBLANK(Input!$B323),"",Input!$A323&amp;""""&amp;Input!$B323&amp;""":"&amp;Input!$C323&amp;Input!F323&amp;Input!$C323&amp;Input!$D323&amp;IF(ISBLANK(Input!$B324),"}"&amp;IF(ISBLANK(H$1),"",","),""))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3E462-84DA-4896-93A9-16638AB5F34C}">
  <sheetPr codeName="Sheet3"/>
  <dimension ref="A1:M2"/>
  <sheetViews>
    <sheetView workbookViewId="0">
      <selection activeCell="C8" sqref="C8"/>
    </sheetView>
  </sheetViews>
  <sheetFormatPr defaultRowHeight="14.4" x14ac:dyDescent="0.3"/>
  <sheetData>
    <row r="1" spans="1:13" x14ac:dyDescent="0.3">
      <c r="F1" t="str">
        <f>_xlfn.CONCAT(Calculations!F:F)</f>
        <v>"en":{"name":"English","appName":"CIT-WL","appFName":"Control and Identification Toolbox - Web Laboratory","algorithms":{"sResponse":{"name":"System response","documentation":"ol-system.pdf","plots":{"u":"Input to the system, $u(t)$","y":"System output, $y(t)$"},"fGens":{"u":{"name":"Input to the system, $u(t)$"}},"inputs":{"in":"System output, $y(t)$"},"outputs":{"out":"System input, $u(t)$"}},"pid":{"name":"PID controller","documentation":"pid.pdf","params":{"k-p":{"name":"Proportional constant, $K_P$","dValue":10,"min":-Infinity,"max":Infinity},"k-i":{"name":"Integral constant, $K_I$","dValue":1,"min":-Infinity,"max":Infinity},"k-d":{"name":"Derivative constant, $K_D$","dValue":0,"min":-Infinity,"max":Infinity}},"plots":{"r":"Reference, $r(t)$","y":"System output, $y(t)$","e":"Error, $e(t)$","u":"Control signal, $u(t)$"},"fGens":{"u":{"name":"Reference, $r(t)$"}},"inputs":{"in":"System output, $y(t)$"},"outputs":{"out":"Control signal, $u(t)$"}}},"mTabs":{"mModel":"Mathematical model","bridgeDevice":"Bridge device configuration","params":"Simulation parameters","fGens":"Function generator(s)","graphs":"Graphs","errors":"Errors"},"bridge":{"iTypeName":"Input type","iTypes":{"analog":"Analog voltage","encoder":"Encoder","temp":"Temperature sensor","humidity":"Humidity sensor","current":"Aanalog current","light":"Light sensor"},"oTypeName":"Output type","oTypes":{"dc0":"Pulsed DC voltage out Ch00","dc1":"Pulsed DC voltage out Ch01","ac0":"Pulsed AC voltage out Ch00","ac1":"Pulsed AC voltage out Ch01"}},"offset":"Offset","gain":"Gain","aSelection":"Algorithm selection","noParams":"Parameters are unavailable for the selected algorithm.","fGens":{"params":{"amp":{"name":"Amplitude","val":1,"min":0,"max":Infinity},"freq":{"name":"Frequency","val":1,"min":0,"max":Infinity},"duty":{"name":"Duty  cycle","val":50,"min":0,"max":100},"phase":{"name":"Phase","val":0,"min":-360,"max":360},"offset":{"name":"Offset","val":0,"min":-Infinity,"max":Infinity},"start":{"name":"Start at","val":0,"min":0,"max":Infinity}},"iSignal":"Invert signal","sTypes":{"step":{"name":"Step function","params":['amp','offset']},"sine":{"name":"Sine wave","params":['amp','freq','phase','offset']},"triangle":{"name":"Triangular wave","params":['amp','freq', 'phase','offset']},"sawtooth":{"name":"Sawtooth wave","params":['amp','freq', 'phase','offset']},"rect":{"name":"Rectangular wave","params":['amp','freq','phase','duty','offset']}},"sType":"Signal type"},"errors":{"uENFound":"No error found in the data entered by user.","uEFound":"Error: following values entered by the user are wrong.","sec":"Section","sSec":"Subsection","uVal":"Value entered","min":"Minimum","max":"Maximum"},"plots":{"show":"Show in graph","nWind":"Open in new window","sLog":"Download the log","sComplex":"Plot the complex numbers","sDAll":"Select/Deselect all"},"sim":{"name":"Simulation","run":"Run","stop":"Stop","ts":"Sampling time, $T_S$","tPeriod":"Execution time, $T$"}},</v>
      </c>
      <c r="G1" t="str">
        <f>_xlfn.CONCAT(Calculations!G:G)</f>
        <v>"es":{"name":"Español","appName":"CIT-WL","appFName":"Caja de herramientas de control e identificación - Laboratorio web","algorithms":{"sResponse":{"name":"Respuesta del sistema","documentation":"ol-system.pdf","plots":{"u":"Entrada al sistema, $u(t)$","y":"Salida del sistema, $y(t)$"},"fGens":{"u":{"name":"Entrada al sistema, $u(t)$"}},"inputs":{"in":"Salida del sistema, $y(t)$"},"outputs":{"out":"Entrada del sistema, $u(t)$"}},"pid":{"name":"Controlador PID","documentation":"pid.pdf","params":{"k-p":{"name":"Constante proporcional, $K_P$","dValue":10,"min":-Infinity,"max":Infinity},"k-i":{"name":"Constante integral, $K_I$","dValue":1,"min":-Infinity,"max":Infinity},"k-d":{"name":"Constante derivada, $K_D$","dValue":0,"min":-Infinity,"max":Infinity}},"plots":{"r":"Referencia, $r(t)$","y":"Salida del sistema, $y(t)$","e":"Error, $e(t)$","u":"Siñal de control, $u(t)$"},"fGens":{"u":{"name":"Referencia, $r(t)$"}},"inputs":{"in":"Salida del sistema, $y(t)$"},"outputs":{"out":"Siñal de control, $u(t)$"}}},"mTabs":{"mModel":"Modelo matemático","bridgeDevice":"Configuración del dispositivo puente","params":"Parámetros de simulación","fGens":"Generador(es) de funciones","graphs":"Gráficos","errors":"Errores"},"bridge":{"iTypeName":"Tipo de entrada","iTypes":{"analog":"Voltaje análogo","encoder":"Codificador","temp":"Sensor de temperatura","humidity":"Sensor de humedad","current":"Aanalog actual","light":"Sensor de luz"},"oTypeName":"Tipo de salida","oTypes":{"dc0":"Saluda de tensión DC pulsada Ch00","dc1":"Saluda de tensión DC pulsada Ch01","ac0":"Saluda de tensión AC pulsada Ch00","ac1":"Saluda de tensión AC pulsada Ch01"}},"offset":"Offset","gain":"Ganancia","aSelection":"Selección de algoritmo","noParams":"Los parámetros no están disponibles para el algoritmo seleccionado.","fGens":{"params":{"amp":{"name":"Amplitude","val":1,"min":0,"max":Infinity},"freq":{"name":"Frequency","val":1,"min":0,"max":Infinity},"duty":{"name":"Duty  cycle","val":50,"min":0,"max":100},"phase":{"name":"Fase","val":0,"min":-360,"max":360},"offset":{"name":"Offset","val":0,"min":-Infinity,"max":Infinity},"start":{"name":"Start at","val":0,"min":0,"max":Infinity}},"iSignal":"Invert signal","sTypes":{"step":{"name":"Step function","params":['amp','offset']},"sine":{"name":"Sine wave","params":['amp','freq','phase','offset']},"triangle":{"name":"Triangular wave","params":['amp','freq', 'phase','offset']},"sawtooth":{"name":"Sawtooth wave","params":['amp','freq', 'phase','offset']},"rect":{"name":"Rectangular wave","params":['amp','freq','phase','duty','offset']}},"sType":"Signal type"},"errors":{"uENFound":"No se encontraron errores en los datos ingresados por el usuario.","uEFound":"Error: los siguientes valores ingresados por el usuario son incorrectos.","sec":"Sección","sSec":"Subsección","uVal":"Valor ingresado","min":"Mínimo","max":"Máximo"},"plots":{"show":"Mostrar en gráfico","nWind":"Abrir en nueva ventana","sLog":"Descargar el registro","sComplex":"Graficar los números complejos","sDAll":"Seleccionar / Deseleccionar todo"},"sim":{"name":"Simulación","run":"Ejecutar","stop":"Detener","ts":"Tiempo de muestreo, $T_S$","tPeriod":"Tiempo de ejecución, $T$"}}</v>
      </c>
      <c r="H1" t="str">
        <f>_xlfn.CONCAT(Calculations!H:H)</f>
        <v/>
      </c>
      <c r="I1" t="str">
        <f>_xlfn.CONCAT(Calculations!I:I)</f>
        <v/>
      </c>
      <c r="J1" t="str">
        <f>_xlfn.CONCAT(Calculations!J:J)</f>
        <v/>
      </c>
      <c r="K1" t="str">
        <f>_xlfn.CONCAT(Calculations!K:K)</f>
        <v/>
      </c>
      <c r="L1" t="str">
        <f>_xlfn.CONCAT(Calculations!L:L)</f>
        <v/>
      </c>
      <c r="M1" t="str">
        <f>_xlfn.CONCAT(Calculations!M:M)</f>
        <v/>
      </c>
    </row>
    <row r="2" spans="1:13" x14ac:dyDescent="0.3">
      <c r="A2" t="str">
        <f>"var lang={"&amp;_xlfn.CONCAT(1:1)&amp;"}"</f>
        <v>var lang={"en":{"name":"English","appName":"CIT-WL","appFName":"Control and Identification Toolbox - Web Laboratory","algorithms":{"sResponse":{"name":"System response","documentation":"ol-system.pdf","plots":{"u":"Input to the system, $u(t)$","y":"System output, $y(t)$"},"fGens":{"u":{"name":"Input to the system, $u(t)$"}},"inputs":{"in":"System output, $y(t)$"},"outputs":{"out":"System input, $u(t)$"}},"pid":{"name":"PID controller","documentation":"pid.pdf","params":{"k-p":{"name":"Proportional constant, $K_P$","dValue":10,"min":-Infinity,"max":Infinity},"k-i":{"name":"Integral constant, $K_I$","dValue":1,"min":-Infinity,"max":Infinity},"k-d":{"name":"Derivative constant, $K_D$","dValue":0,"min":-Infinity,"max":Infinity}},"plots":{"r":"Reference, $r(t)$","y":"System output, $y(t)$","e":"Error, $e(t)$","u":"Control signal, $u(t)$"},"fGens":{"u":{"name":"Reference, $r(t)$"}},"inputs":{"in":"System output, $y(t)$"},"outputs":{"out":"Control signal, $u(t)$"}}},"mTabs":{"mModel":"Mathematical model","bridgeDevice":"Bridge device configuration","params":"Simulation parameters","fGens":"Function generator(s)","graphs":"Graphs","errors":"Errors"},"bridge":{"iTypeName":"Input type","iTypes":{"analog":"Analog voltage","encoder":"Encoder","temp":"Temperature sensor","humidity":"Humidity sensor","current":"Aanalog current","light":"Light sensor"},"oTypeName":"Output type","oTypes":{"dc0":"Pulsed DC voltage out Ch00","dc1":"Pulsed DC voltage out Ch01","ac0":"Pulsed AC voltage out Ch00","ac1":"Pulsed AC voltage out Ch01"}},"offset":"Offset","gain":"Gain","aSelection":"Algorithm selection","noParams":"Parameters are unavailable for the selected algorithm.","fGens":{"params":{"amp":{"name":"Amplitude","val":1,"min":0,"max":Infinity},"freq":{"name":"Frequency","val":1,"min":0,"max":Infinity},"duty":{"name":"Duty  cycle","val":50,"min":0,"max":100},"phase":{"name":"Phase","val":0,"min":-360,"max":360},"offset":{"name":"Offset","val":0,"min":-Infinity,"max":Infinity},"start":{"name":"Start at","val":0,"min":0,"max":Infinity}},"iSignal":"Invert signal","sTypes":{"step":{"name":"Step function","params":['amp','offset']},"sine":{"name":"Sine wave","params":['amp','freq','phase','offset']},"triangle":{"name":"Triangular wave","params":['amp','freq', 'phase','offset']},"sawtooth":{"name":"Sawtooth wave","params":['amp','freq', 'phase','offset']},"rect":{"name":"Rectangular wave","params":['amp','freq','phase','duty','offset']}},"sType":"Signal type"},"errors":{"uENFound":"No error found in the data entered by user.","uEFound":"Error: following values entered by the user are wrong.","sec":"Section","sSec":"Subsection","uVal":"Value entered","min":"Minimum","max":"Maximum"},"plots":{"show":"Show in graph","nWind":"Open in new window","sLog":"Download the log","sComplex":"Plot the complex numbers","sDAll":"Select/Deselect all"},"sim":{"name":"Simulation","run":"Run","stop":"Stop","ts":"Sampling time, $T_S$","tPeriod":"Execution time, $T$"}},"es":{"name":"Español","appName":"CIT-WL","appFName":"Caja de herramientas de control e identificación - Laboratorio web","algorithms":{"sResponse":{"name":"Respuesta del sistema","documentation":"ol-system.pdf","plots":{"u":"Entrada al sistema, $u(t)$","y":"Salida del sistema, $y(t)$"},"fGens":{"u":{"name":"Entrada al sistema, $u(t)$"}},"inputs":{"in":"Salida del sistema, $y(t)$"},"outputs":{"out":"Entrada del sistema, $u(t)$"}},"pid":{"name":"Controlador PID","documentation":"pid.pdf","params":{"k-p":{"name":"Constante proporcional, $K_P$","dValue":10,"min":-Infinity,"max":Infinity},"k-i":{"name":"Constante integral, $K_I$","dValue":1,"min":-Infinity,"max":Infinity},"k-d":{"name":"Constante derivada, $K_D$","dValue":0,"min":-Infinity,"max":Infinity}},"plots":{"r":"Referencia, $r(t)$","y":"Salida del sistema, $y(t)$","e":"Error, $e(t)$","u":"Siñal de control, $u(t)$"},"fGens":{"u":{"name":"Referencia, $r(t)$"}},"inputs":{"in":"Salida del sistema, $y(t)$"},"outputs":{"out":"Siñal de control, $u(t)$"}}},"mTabs":{"mModel":"Modelo matemático","bridgeDevice":"Configuración del dispositivo puente","params":"Parámetros de simulación","fGens":"Generador(es) de funciones","graphs":"Gráficos","errors":"Errores"},"bridge":{"iTypeName":"Tipo de entrada","iTypes":{"analog":"Voltaje análogo","encoder":"Codificador","temp":"Sensor de temperatura","humidity":"Sensor de humedad","current":"Aanalog actual","light":"Sensor de luz"},"oTypeName":"Tipo de salida","oTypes":{"dc0":"Saluda de tensión DC pulsada Ch00","dc1":"Saluda de tensión DC pulsada Ch01","ac0":"Saluda de tensión AC pulsada Ch00","ac1":"Saluda de tensión AC pulsada Ch01"}},"offset":"Offset","gain":"Ganancia","aSelection":"Selección de algoritmo","noParams":"Los parámetros no están disponibles para el algoritmo seleccionado.","fGens":{"params":{"amp":{"name":"Amplitude","val":1,"min":0,"max":Infinity},"freq":{"name":"Frequency","val":1,"min":0,"max":Infinity},"duty":{"name":"Duty  cycle","val":50,"min":0,"max":100},"phase":{"name":"Fase","val":0,"min":-360,"max":360},"offset":{"name":"Offset","val":0,"min":-Infinity,"max":Infinity},"start":{"name":"Start at","val":0,"min":0,"max":Infinity}},"iSignal":"Invert signal","sTypes":{"step":{"name":"Step function","params":['amp','offset']},"sine":{"name":"Sine wave","params":['amp','freq','phase','offset']},"triangle":{"name":"Triangular wave","params":['amp','freq', 'phase','offset']},"sawtooth":{"name":"Sawtooth wave","params":['amp','freq', 'phase','offset']},"rect":{"name":"Rectangular wave","params":['amp','freq','phase','duty','offset']}},"sType":"Signal type"},"errors":{"uENFound":"No se encontraron errores en los datos ingresados por el usuario.","uEFound":"Error: los siguientes valores ingresados por el usuario son incorrectos.","sec":"Sección","sSec":"Subsección","uVal":"Valor ingresado","min":"Mínimo","max":"Máximo"},"plots":{"show":"Mostrar en gráfico","nWind":"Abrir en nueva ventana","sLog":"Descargar el registro","sComplex":"Graficar los números complejos","sDAll":"Seleccionar / Deseleccionar todo"},"sim":{"name":"Simulación","run":"Ejecutar","stop":"Detener","ts":"Tiempo de muestreo, $T_S$","tPeriod":"Tiempo de ejecución, $T$"}}}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Calculations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2019-11-16T00:39:29Z</dcterms:created>
  <dcterms:modified xsi:type="dcterms:W3CDTF">2019-12-08T00:06:30Z</dcterms:modified>
</cp:coreProperties>
</file>